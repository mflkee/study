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WorkDocs\Объекты\Самотлорнефтегаз\Калибровка колб\2024 Протоколы калибровки в формате Excel\"/>
    </mc:Choice>
  </mc:AlternateContent>
  <bookViews>
    <workbookView xWindow="4272" yWindow="3312" windowWidth="21600" windowHeight="12648" tabRatio="500"/>
  </bookViews>
  <sheets>
    <sheet name="Протокол" sheetId="1" r:id="rId1"/>
    <sheet name="Лист2" sheetId="2" r:id="rId2"/>
    <sheet name="к-т_коррекции" sheetId="3" r:id="rId3"/>
  </sheets>
  <definedNames>
    <definedName name="_xlnm.Print_Area" localSheetId="0">Протокол!$A$1:$H$85</definedName>
    <definedName name="таблица_давлений">'к-т_коррекции'!$B$15:$C$26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92" i="1" l="1"/>
  <c r="E10" i="1"/>
  <c r="E54" i="1"/>
  <c r="D74" i="1" l="1"/>
  <c r="AB75" i="1" l="1"/>
  <c r="A12" i="3"/>
  <c r="C12" i="3"/>
  <c r="O78" i="1" l="1"/>
  <c r="I81" i="1" l="1"/>
  <c r="I79" i="1" s="1"/>
  <c r="I77" i="1"/>
  <c r="I75" i="1" s="1"/>
  <c r="I74" i="1" l="1"/>
  <c r="I76" i="1"/>
  <c r="I78" i="1"/>
  <c r="I80" i="1"/>
  <c r="G96" i="1"/>
  <c r="G97" i="1" s="1"/>
  <c r="F90" i="1" s="1"/>
  <c r="G90" i="1"/>
  <c r="I90" i="1"/>
  <c r="J92" i="1"/>
  <c r="D9" i="1"/>
  <c r="B36" i="1"/>
  <c r="F49" i="1"/>
  <c r="E6" i="1" l="1"/>
  <c r="B38" i="1"/>
  <c r="C96" i="1"/>
  <c r="E66" i="1"/>
  <c r="E65" i="1"/>
  <c r="E64" i="1"/>
  <c r="E63" i="1"/>
  <c r="AB74" i="1" s="1"/>
  <c r="C90" i="1"/>
  <c r="E52" i="1"/>
  <c r="E49" i="1" s="1"/>
  <c r="AA74" i="1" l="1"/>
  <c r="AC74" i="1" s="1"/>
  <c r="L87" i="1"/>
  <c r="B96" i="1"/>
  <c r="B97" i="1" s="1"/>
  <c r="C94" i="1"/>
  <c r="E74" i="1"/>
  <c r="D75" i="1" l="1"/>
  <c r="D76" i="1" l="1"/>
  <c r="F17" i="1" l="1"/>
  <c r="F16" i="1"/>
  <c r="E75" i="1"/>
  <c r="E76" i="1" s="1"/>
  <c r="E78" i="1" s="1"/>
  <c r="E79" i="1" s="1"/>
  <c r="E80" i="1" s="1"/>
  <c r="B90" i="1"/>
  <c r="D78" i="1" l="1"/>
  <c r="D79" i="1" s="1"/>
  <c r="D80" i="1" s="1"/>
  <c r="O74" i="1"/>
  <c r="E67" i="1" l="1"/>
  <c r="F96" i="1" s="1"/>
  <c r="F97" i="1" s="1"/>
  <c r="H90" i="1" s="1"/>
  <c r="X74" i="1"/>
  <c r="W74" i="1"/>
  <c r="V74" i="1"/>
  <c r="U74" i="1"/>
  <c r="S76" i="1"/>
  <c r="S74" i="1" s="1"/>
  <c r="R74" i="1"/>
  <c r="Q80" i="1"/>
  <c r="O80" i="1"/>
  <c r="Q74" i="1"/>
  <c r="F79" i="1"/>
  <c r="F80" i="1"/>
  <c r="F78" i="1"/>
  <c r="F75" i="1"/>
  <c r="F76" i="1"/>
  <c r="F74" i="1"/>
  <c r="Y74" i="1" l="1"/>
  <c r="F18" i="1"/>
  <c r="G74" i="1"/>
  <c r="L76" i="1" s="1"/>
  <c r="Q78" i="1"/>
  <c r="P74" i="1"/>
  <c r="P78" i="1"/>
  <c r="G78" i="1"/>
  <c r="K80" i="1" l="1"/>
  <c r="L81" i="1"/>
  <c r="I83" i="1"/>
  <c r="K90" i="1" s="1"/>
  <c r="K78" i="1"/>
  <c r="B83" i="1"/>
  <c r="T76" i="1"/>
  <c r="T74" i="1" s="1"/>
  <c r="K75" i="1"/>
  <c r="K76" i="1"/>
  <c r="K74" i="1"/>
  <c r="K79" i="1"/>
  <c r="D96" i="1" l="1"/>
  <c r="D97" i="1" s="1"/>
  <c r="D90" i="1" s="1"/>
  <c r="B42" i="1" s="1"/>
  <c r="M78" i="1"/>
  <c r="N78" i="1" s="1"/>
  <c r="O87" i="1" s="1"/>
  <c r="O88" i="1" s="1"/>
  <c r="M74" i="1"/>
  <c r="N74" i="1" s="1"/>
  <c r="O83" i="1" s="1"/>
  <c r="O84" i="1" s="1"/>
  <c r="O89" i="1" l="1"/>
  <c r="H78" i="1"/>
  <c r="O85" i="1"/>
  <c r="H74" i="1"/>
  <c r="E96" i="1" l="1"/>
  <c r="E97" i="1" l="1"/>
  <c r="E90" i="1" s="1"/>
  <c r="A15" i="1" l="1"/>
  <c r="B44" i="1"/>
</calcChain>
</file>

<file path=xl/sharedStrings.xml><?xml version="1.0" encoding="utf-8"?>
<sst xmlns="http://schemas.openxmlformats.org/spreadsheetml/2006/main" count="207" uniqueCount="172">
  <si>
    <t>Объект калибровки</t>
  </si>
  <si>
    <t>Заводской номер</t>
  </si>
  <si>
    <t>Методика калибровки:</t>
  </si>
  <si>
    <t>МК 12.3.2-2022 «Методика калибровки. Колбы мерные стеклянные»</t>
  </si>
  <si>
    <t>Средства калибровки:</t>
  </si>
  <si>
    <t>Условия проведения калибровки:</t>
  </si>
  <si>
    <t xml:space="preserve"> - температура воздуха</t>
  </si>
  <si>
    <t>°С</t>
  </si>
  <si>
    <t xml:space="preserve"> - температура воды</t>
  </si>
  <si>
    <t xml:space="preserve"> - относительная влажность воздуха</t>
  </si>
  <si>
    <t>%</t>
  </si>
  <si>
    <t xml:space="preserve"> - атмосферное давление</t>
  </si>
  <si>
    <t>мм.рт.ст.</t>
  </si>
  <si>
    <t>1. Определение вместимости:</t>
  </si>
  <si>
    <t>Коэффициент коррекции, Z</t>
  </si>
  <si>
    <t>Вместимость, мл</t>
  </si>
  <si>
    <t>Минимальная точка шкалы</t>
  </si>
  <si>
    <t>2. Определение цены деления</t>
  </si>
  <si>
    <t>Место проведения калибровки:</t>
  </si>
  <si>
    <t>=</t>
  </si>
  <si>
    <r>
      <t>u</t>
    </r>
    <r>
      <rPr>
        <vertAlign val="subscript"/>
        <sz val="12"/>
        <rFont val="Times New Roman"/>
        <family val="1"/>
        <charset val="204"/>
      </rPr>
      <t>a</t>
    </r>
  </si>
  <si>
    <r>
      <t>u</t>
    </r>
    <r>
      <rPr>
        <vertAlign val="subscript"/>
        <sz val="12"/>
        <rFont val="Times New Roman"/>
        <family val="1"/>
        <charset val="204"/>
      </rPr>
      <t>В</t>
    </r>
    <r>
      <rPr>
        <sz val="12"/>
        <rFont val="Times New Roman"/>
        <family val="1"/>
        <charset val="204"/>
      </rPr>
      <t>(δ</t>
    </r>
    <r>
      <rPr>
        <vertAlign val="subscript"/>
        <sz val="12"/>
        <rFont val="Times New Roman"/>
        <family val="1"/>
        <charset val="204"/>
      </rPr>
      <t>В</t>
    </r>
    <r>
      <rPr>
        <sz val="12"/>
        <rFont val="Times New Roman"/>
        <family val="1"/>
        <charset val="204"/>
      </rPr>
      <t>)</t>
    </r>
  </si>
  <si>
    <r>
      <t>u</t>
    </r>
    <r>
      <rPr>
        <vertAlign val="subscript"/>
        <sz val="12"/>
        <rFont val="Times New Roman"/>
        <family val="1"/>
        <charset val="204"/>
      </rPr>
      <t>В</t>
    </r>
    <r>
      <rPr>
        <sz val="12"/>
        <rFont val="Times New Roman"/>
        <family val="1"/>
        <charset val="204"/>
      </rPr>
      <t>(d</t>
    </r>
    <r>
      <rPr>
        <vertAlign val="subscript"/>
        <sz val="12"/>
        <rFont val="Times New Roman"/>
        <family val="1"/>
        <charset val="204"/>
      </rPr>
      <t>В</t>
    </r>
    <r>
      <rPr>
        <sz val="12"/>
        <rFont val="Times New Roman"/>
        <family val="1"/>
        <charset val="204"/>
      </rPr>
      <t>)</t>
    </r>
  </si>
  <si>
    <t>стандартная неопределенность по типу В от погрешности измерений весов</t>
  </si>
  <si>
    <t>стандартная неопределенность по типу А, связанная с повторяемостью измерений объема</t>
  </si>
  <si>
    <t>стандартная неопределенность по типу В от разрешающей способности (дискретности отсчета) весов</t>
  </si>
  <si>
    <r>
      <t>u</t>
    </r>
    <r>
      <rPr>
        <vertAlign val="subscript"/>
        <sz val="12"/>
        <rFont val="Times New Roman"/>
        <family val="1"/>
        <charset val="204"/>
      </rPr>
      <t>В</t>
    </r>
    <r>
      <rPr>
        <sz val="12"/>
        <rFont val="Times New Roman"/>
        <family val="1"/>
        <charset val="204"/>
      </rPr>
      <t>(δ</t>
    </r>
    <r>
      <rPr>
        <vertAlign val="subscript"/>
        <sz val="12"/>
        <rFont val="Times New Roman"/>
        <family val="1"/>
        <charset val="204"/>
      </rPr>
      <t>ТВ</t>
    </r>
    <r>
      <rPr>
        <sz val="12"/>
        <rFont val="Times New Roman"/>
        <family val="1"/>
        <charset val="204"/>
      </rPr>
      <t>)</t>
    </r>
  </si>
  <si>
    <t>стандартная неопределенность по типу В от погрешности измерений термометра (изм. Воды)</t>
  </si>
  <si>
    <r>
      <t>u</t>
    </r>
    <r>
      <rPr>
        <vertAlign val="subscript"/>
        <sz val="12"/>
        <rFont val="Times New Roman"/>
        <family val="1"/>
        <charset val="204"/>
      </rPr>
      <t>В</t>
    </r>
    <r>
      <rPr>
        <sz val="12"/>
        <rFont val="Times New Roman"/>
        <family val="1"/>
        <charset val="204"/>
      </rPr>
      <t>(ε</t>
    </r>
    <r>
      <rPr>
        <vertAlign val="subscript"/>
        <sz val="12"/>
        <rFont val="Times New Roman"/>
        <family val="1"/>
        <charset val="204"/>
      </rPr>
      <t>ТВ</t>
    </r>
    <r>
      <rPr>
        <sz val="12"/>
        <rFont val="Times New Roman"/>
        <family val="1"/>
        <charset val="204"/>
      </rPr>
      <t>)</t>
    </r>
  </si>
  <si>
    <t>стандартная неопределенность по типу В от дрейфа температуры воды от температуры воздуха</t>
  </si>
  <si>
    <r>
      <t>u</t>
    </r>
    <r>
      <rPr>
        <vertAlign val="subscript"/>
        <sz val="12"/>
        <rFont val="Times New Roman"/>
        <family val="1"/>
        <charset val="204"/>
      </rPr>
      <t>В</t>
    </r>
    <r>
      <rPr>
        <sz val="12"/>
        <rFont val="Times New Roman"/>
        <family val="1"/>
        <charset val="204"/>
      </rPr>
      <t>(ρ</t>
    </r>
    <r>
      <rPr>
        <vertAlign val="subscript"/>
        <sz val="12"/>
        <rFont val="Times New Roman"/>
        <family val="1"/>
        <charset val="204"/>
      </rPr>
      <t>В</t>
    </r>
    <r>
      <rPr>
        <sz val="12"/>
        <rFont val="Times New Roman"/>
        <family val="1"/>
        <charset val="204"/>
      </rPr>
      <t>)</t>
    </r>
  </si>
  <si>
    <t>стандартная неопределенность по типу В от плотности воды</t>
  </si>
  <si>
    <r>
      <t>u</t>
    </r>
    <r>
      <rPr>
        <vertAlign val="subscript"/>
        <sz val="12"/>
        <rFont val="Times New Roman"/>
        <family val="1"/>
        <charset val="204"/>
      </rPr>
      <t>В</t>
    </r>
    <r>
      <rPr>
        <sz val="12"/>
        <rFont val="Times New Roman"/>
        <family val="1"/>
        <charset val="204"/>
      </rPr>
      <t>(δ</t>
    </r>
    <r>
      <rPr>
        <vertAlign val="subscript"/>
        <sz val="12"/>
        <rFont val="Times New Roman"/>
        <family val="1"/>
        <charset val="204"/>
      </rPr>
      <t>Т</t>
    </r>
    <r>
      <rPr>
        <sz val="12"/>
        <rFont val="Times New Roman"/>
        <family val="1"/>
        <charset val="204"/>
      </rPr>
      <t>)</t>
    </r>
  </si>
  <si>
    <t>стандартная неопределенность по типу В от погрешности измерений температуры воздуха</t>
  </si>
  <si>
    <r>
      <t>u</t>
    </r>
    <r>
      <rPr>
        <vertAlign val="subscript"/>
        <sz val="12"/>
        <rFont val="Times New Roman"/>
        <family val="1"/>
        <charset val="204"/>
      </rPr>
      <t>В</t>
    </r>
    <r>
      <rPr>
        <sz val="12"/>
        <rFont val="Times New Roman"/>
        <family val="1"/>
        <charset val="204"/>
      </rPr>
      <t>(δ</t>
    </r>
    <r>
      <rPr>
        <vertAlign val="subscript"/>
        <sz val="12"/>
        <rFont val="Times New Roman"/>
        <family val="1"/>
        <charset val="204"/>
      </rPr>
      <t>φ</t>
    </r>
    <r>
      <rPr>
        <sz val="12"/>
        <rFont val="Times New Roman"/>
        <family val="1"/>
        <charset val="204"/>
      </rPr>
      <t>)</t>
    </r>
  </si>
  <si>
    <t>стандартная неопределенность по типу В от погрешности измерений СИ относительноц влажности воздуха</t>
  </si>
  <si>
    <r>
      <t>u</t>
    </r>
    <r>
      <rPr>
        <vertAlign val="subscript"/>
        <sz val="12"/>
        <rFont val="Times New Roman"/>
        <family val="1"/>
        <charset val="204"/>
      </rPr>
      <t>В</t>
    </r>
    <r>
      <rPr>
        <sz val="12"/>
        <rFont val="Times New Roman"/>
        <family val="1"/>
        <charset val="204"/>
      </rPr>
      <t>(ε</t>
    </r>
    <r>
      <rPr>
        <vertAlign val="subscript"/>
        <sz val="12"/>
        <rFont val="Times New Roman"/>
        <family val="1"/>
        <charset val="204"/>
      </rPr>
      <t>Т</t>
    </r>
    <r>
      <rPr>
        <sz val="12"/>
        <rFont val="Times New Roman"/>
        <family val="1"/>
        <charset val="204"/>
      </rPr>
      <t>)</t>
    </r>
  </si>
  <si>
    <t>стандартная неопределенность по типу В от дрейфа температуры воздуха</t>
  </si>
  <si>
    <t>ua = S/sqrt(n)</t>
  </si>
  <si>
    <t>s = sqrt( sum(Vi-Vср)^2/(n-1)) / Vср</t>
  </si>
  <si>
    <t>(Vi-Vср)^2</t>
  </si>
  <si>
    <t>S</t>
  </si>
  <si>
    <r>
      <t>u</t>
    </r>
    <r>
      <rPr>
        <b/>
        <vertAlign val="subscript"/>
        <sz val="10"/>
        <rFont val="Arial"/>
        <family val="2"/>
        <charset val="204"/>
      </rPr>
      <t>a</t>
    </r>
  </si>
  <si>
    <t>вычисления в протоколе</t>
  </si>
  <si>
    <r>
      <t>u</t>
    </r>
    <r>
      <rPr>
        <vertAlign val="subscript"/>
        <sz val="12"/>
        <rFont val="Times New Roman"/>
        <family val="1"/>
        <charset val="204"/>
      </rPr>
      <t>В</t>
    </r>
    <r>
      <rPr>
        <sz val="12"/>
        <rFont val="Times New Roman"/>
        <family val="1"/>
        <charset val="204"/>
      </rPr>
      <t>(δ</t>
    </r>
    <r>
      <rPr>
        <vertAlign val="subscript"/>
        <sz val="12"/>
        <rFont val="Times New Roman"/>
        <family val="1"/>
        <charset val="204"/>
      </rPr>
      <t>В</t>
    </r>
    <r>
      <rPr>
        <sz val="12"/>
        <rFont val="Times New Roman"/>
        <family val="1"/>
        <charset val="204"/>
      </rPr>
      <t>) = Δв*100/(М</t>
    </r>
    <r>
      <rPr>
        <vertAlign val="subscript"/>
        <sz val="12"/>
        <rFont val="Times New Roman"/>
        <family val="1"/>
        <charset val="204"/>
      </rPr>
      <t>ср</t>
    </r>
    <r>
      <rPr>
        <sz val="12"/>
        <rFont val="Times New Roman"/>
        <family val="1"/>
        <charset val="204"/>
      </rPr>
      <t>*корень(3))</t>
    </r>
  </si>
  <si>
    <t xml:space="preserve"> Δв</t>
  </si>
  <si>
    <t xml:space="preserve"> Δв=</t>
  </si>
  <si>
    <t>мг</t>
  </si>
  <si>
    <t>Мср, мг</t>
  </si>
  <si>
    <r>
      <t>u</t>
    </r>
    <r>
      <rPr>
        <vertAlign val="subscript"/>
        <sz val="12"/>
        <rFont val="Times New Roman"/>
        <family val="1"/>
        <charset val="204"/>
      </rPr>
      <t>В</t>
    </r>
    <r>
      <rPr>
        <sz val="12"/>
        <rFont val="Times New Roman"/>
        <family val="1"/>
        <charset val="204"/>
      </rPr>
      <t>(d</t>
    </r>
    <r>
      <rPr>
        <vertAlign val="subscript"/>
        <sz val="12"/>
        <rFont val="Times New Roman"/>
        <family val="1"/>
        <charset val="204"/>
      </rPr>
      <t>В</t>
    </r>
    <r>
      <rPr>
        <sz val="12"/>
        <rFont val="Times New Roman"/>
        <family val="1"/>
        <charset val="204"/>
      </rPr>
      <t>)=d</t>
    </r>
    <r>
      <rPr>
        <vertAlign val="subscript"/>
        <sz val="12"/>
        <rFont val="Times New Roman"/>
        <family val="1"/>
        <charset val="204"/>
      </rPr>
      <t>в</t>
    </r>
    <r>
      <rPr>
        <sz val="12"/>
        <rFont val="Times New Roman"/>
        <family val="1"/>
        <charset val="204"/>
      </rPr>
      <t>*100/(М</t>
    </r>
    <r>
      <rPr>
        <vertAlign val="subscript"/>
        <sz val="12"/>
        <rFont val="Times New Roman"/>
        <family val="1"/>
        <charset val="204"/>
      </rPr>
      <t>ср</t>
    </r>
    <r>
      <rPr>
        <sz val="12"/>
        <rFont val="Times New Roman"/>
        <family val="1"/>
        <charset val="204"/>
      </rPr>
      <t>*2*корень(3))</t>
    </r>
  </si>
  <si>
    <r>
      <t>d</t>
    </r>
    <r>
      <rPr>
        <vertAlign val="subscript"/>
        <sz val="10"/>
        <rFont val="Arial"/>
        <family val="2"/>
        <charset val="204"/>
      </rPr>
      <t>в</t>
    </r>
    <r>
      <rPr>
        <sz val="10"/>
        <rFont val="Arial"/>
        <family val="2"/>
        <charset val="204"/>
      </rPr>
      <t>=</t>
    </r>
  </si>
  <si>
    <r>
      <t>u</t>
    </r>
    <r>
      <rPr>
        <vertAlign val="subscript"/>
        <sz val="12"/>
        <rFont val="Times New Roman"/>
        <family val="1"/>
        <charset val="204"/>
      </rPr>
      <t>В</t>
    </r>
    <r>
      <rPr>
        <sz val="12"/>
        <rFont val="Times New Roman"/>
        <family val="1"/>
        <charset val="204"/>
      </rPr>
      <t>(δ</t>
    </r>
    <r>
      <rPr>
        <vertAlign val="subscript"/>
        <sz val="12"/>
        <rFont val="Times New Roman"/>
        <family val="1"/>
        <charset val="204"/>
      </rPr>
      <t>ТВ</t>
    </r>
    <r>
      <rPr>
        <sz val="12"/>
        <rFont val="Times New Roman"/>
        <family val="1"/>
        <charset val="204"/>
      </rPr>
      <t>) = d</t>
    </r>
    <r>
      <rPr>
        <vertAlign val="subscript"/>
        <sz val="12"/>
        <rFont val="Times New Roman"/>
        <family val="1"/>
        <charset val="204"/>
      </rPr>
      <t>ТВ</t>
    </r>
    <r>
      <rPr>
        <sz val="12"/>
        <rFont val="Times New Roman"/>
        <family val="1"/>
        <charset val="204"/>
      </rPr>
      <t>*100/(Т</t>
    </r>
    <r>
      <rPr>
        <vertAlign val="subscript"/>
        <sz val="12"/>
        <rFont val="Times New Roman"/>
        <family val="1"/>
        <charset val="204"/>
      </rPr>
      <t>В</t>
    </r>
    <r>
      <rPr>
        <sz val="12"/>
        <rFont val="Times New Roman"/>
        <family val="1"/>
        <charset val="204"/>
      </rPr>
      <t>*корень(3))</t>
    </r>
  </si>
  <si>
    <r>
      <t>d</t>
    </r>
    <r>
      <rPr>
        <vertAlign val="subscript"/>
        <sz val="10"/>
        <rFont val="Arial"/>
        <family val="2"/>
        <charset val="204"/>
      </rPr>
      <t>ТВ</t>
    </r>
    <r>
      <rPr>
        <sz val="10"/>
        <rFont val="Arial"/>
        <family val="2"/>
        <charset val="204"/>
      </rPr>
      <t>=</t>
    </r>
  </si>
  <si>
    <r>
      <rPr>
        <sz val="10"/>
        <rFont val="Times New Roman"/>
        <family val="1"/>
        <charset val="204"/>
      </rPr>
      <t>°</t>
    </r>
    <r>
      <rPr>
        <sz val="12"/>
        <rFont val="Arial"/>
        <family val="2"/>
        <charset val="204"/>
      </rPr>
      <t>С</t>
    </r>
  </si>
  <si>
    <r>
      <t>u</t>
    </r>
    <r>
      <rPr>
        <vertAlign val="subscript"/>
        <sz val="12"/>
        <rFont val="Times New Roman"/>
        <family val="1"/>
        <charset val="204"/>
      </rPr>
      <t>В</t>
    </r>
    <r>
      <rPr>
        <sz val="12"/>
        <rFont val="Times New Roman"/>
        <family val="1"/>
        <charset val="204"/>
      </rPr>
      <t>(ε</t>
    </r>
    <r>
      <rPr>
        <vertAlign val="subscript"/>
        <sz val="12"/>
        <rFont val="Times New Roman"/>
        <family val="1"/>
        <charset val="204"/>
      </rPr>
      <t>ТВ</t>
    </r>
    <r>
      <rPr>
        <sz val="12"/>
        <rFont val="Times New Roman"/>
        <family val="1"/>
        <charset val="204"/>
      </rPr>
      <t>)=ε</t>
    </r>
    <r>
      <rPr>
        <vertAlign val="subscript"/>
        <sz val="12"/>
        <rFont val="Times New Roman"/>
        <family val="1"/>
        <charset val="204"/>
      </rPr>
      <t>ТВ</t>
    </r>
    <r>
      <rPr>
        <sz val="12"/>
        <rFont val="Times New Roman"/>
        <family val="1"/>
        <charset val="204"/>
      </rPr>
      <t>*100/(Т</t>
    </r>
    <r>
      <rPr>
        <vertAlign val="subscript"/>
        <sz val="12"/>
        <rFont val="Times New Roman"/>
        <family val="1"/>
        <charset val="204"/>
      </rPr>
      <t>В</t>
    </r>
    <r>
      <rPr>
        <sz val="12"/>
        <rFont val="Times New Roman"/>
        <family val="1"/>
        <charset val="204"/>
      </rPr>
      <t>*корень(3))</t>
    </r>
  </si>
  <si>
    <r>
      <t>ε</t>
    </r>
    <r>
      <rPr>
        <vertAlign val="subscript"/>
        <sz val="12"/>
        <rFont val="Times New Roman"/>
        <family val="1"/>
        <charset val="204"/>
      </rPr>
      <t>ТВ</t>
    </r>
    <r>
      <rPr>
        <sz val="12"/>
        <rFont val="Times New Roman"/>
        <family val="1"/>
        <charset val="204"/>
      </rPr>
      <t/>
    </r>
  </si>
  <si>
    <t>uc=</t>
  </si>
  <si>
    <r>
      <t>U</t>
    </r>
    <r>
      <rPr>
        <vertAlign val="subscript"/>
        <sz val="10"/>
        <rFont val="Arial"/>
        <family val="2"/>
        <charset val="204"/>
      </rPr>
      <t>0</t>
    </r>
    <r>
      <rPr>
        <sz val="10"/>
        <rFont val="Arial"/>
        <family val="2"/>
        <charset val="204"/>
      </rPr>
      <t>=k*u</t>
    </r>
    <r>
      <rPr>
        <vertAlign val="subscript"/>
        <sz val="10"/>
        <rFont val="Arial"/>
        <family val="2"/>
        <charset val="204"/>
      </rPr>
      <t>c</t>
    </r>
  </si>
  <si>
    <r>
      <t>U=U</t>
    </r>
    <r>
      <rPr>
        <vertAlign val="subscript"/>
        <sz val="10"/>
        <rFont val="Arial"/>
        <family val="2"/>
        <charset val="204"/>
      </rPr>
      <t>0</t>
    </r>
    <r>
      <rPr>
        <sz val="10"/>
        <rFont val="Arial"/>
        <family val="2"/>
        <charset val="204"/>
      </rPr>
      <t>*V</t>
    </r>
    <r>
      <rPr>
        <vertAlign val="subscript"/>
        <sz val="10"/>
        <rFont val="Arial"/>
        <family val="2"/>
        <charset val="204"/>
      </rPr>
      <t>ср</t>
    </r>
    <r>
      <rPr>
        <sz val="10"/>
        <rFont val="Arial"/>
        <family val="2"/>
        <charset val="204"/>
      </rPr>
      <t>/100</t>
    </r>
  </si>
  <si>
    <r>
      <t>Среднее значение вместимости V</t>
    </r>
    <r>
      <rPr>
        <vertAlign val="subscript"/>
        <sz val="10"/>
        <rFont val="Arial"/>
        <family val="2"/>
        <charset val="204"/>
      </rPr>
      <t>ср</t>
    </r>
    <r>
      <rPr>
        <sz val="10"/>
        <rFont val="Arial"/>
        <family val="2"/>
        <charset val="204"/>
      </rPr>
      <t>, мл</t>
    </r>
  </si>
  <si>
    <t>мл</t>
  </si>
  <si>
    <r>
      <t>u</t>
    </r>
    <r>
      <rPr>
        <vertAlign val="subscript"/>
        <sz val="12"/>
        <rFont val="Times New Roman"/>
        <family val="1"/>
        <charset val="204"/>
      </rPr>
      <t>В</t>
    </r>
    <r>
      <rPr>
        <sz val="12"/>
        <rFont val="Times New Roman"/>
        <family val="1"/>
        <charset val="204"/>
      </rPr>
      <t>(ρ</t>
    </r>
    <r>
      <rPr>
        <vertAlign val="subscript"/>
        <sz val="12"/>
        <rFont val="Times New Roman"/>
        <family val="1"/>
        <charset val="204"/>
      </rPr>
      <t>В</t>
    </r>
    <r>
      <rPr>
        <sz val="12"/>
        <rFont val="Times New Roman"/>
        <family val="1"/>
        <charset val="204"/>
      </rPr>
      <t>)=10*10</t>
    </r>
    <r>
      <rPr>
        <vertAlign val="superscript"/>
        <sz val="12"/>
        <rFont val="Times New Roman"/>
        <family val="1"/>
        <charset val="204"/>
      </rPr>
      <t>-6</t>
    </r>
    <r>
      <rPr>
        <sz val="12"/>
        <rFont val="Times New Roman"/>
        <family val="1"/>
        <charset val="204"/>
      </rPr>
      <t>*100/(Ro</t>
    </r>
    <r>
      <rPr>
        <vertAlign val="subscript"/>
        <sz val="12"/>
        <rFont val="Times New Roman"/>
        <family val="1"/>
        <charset val="204"/>
      </rPr>
      <t>В</t>
    </r>
    <r>
      <rPr>
        <sz val="12"/>
        <rFont val="Times New Roman"/>
        <family val="1"/>
        <charset val="204"/>
      </rPr>
      <t>*корень(3))</t>
    </r>
  </si>
  <si>
    <t>Roв,</t>
  </si>
  <si>
    <r>
      <t>u</t>
    </r>
    <r>
      <rPr>
        <vertAlign val="subscript"/>
        <sz val="12"/>
        <rFont val="Times New Roman"/>
        <family val="1"/>
        <charset val="204"/>
      </rPr>
      <t>В</t>
    </r>
    <r>
      <rPr>
        <sz val="12"/>
        <rFont val="Times New Roman"/>
        <family val="1"/>
        <charset val="204"/>
      </rPr>
      <t>(δ</t>
    </r>
    <r>
      <rPr>
        <vertAlign val="subscript"/>
        <sz val="12"/>
        <rFont val="Times New Roman"/>
        <family val="1"/>
        <charset val="204"/>
      </rPr>
      <t>Т</t>
    </r>
    <r>
      <rPr>
        <sz val="12"/>
        <rFont val="Times New Roman"/>
        <family val="1"/>
        <charset val="204"/>
      </rPr>
      <t>)=dT*100/(T*корень(3))</t>
    </r>
  </si>
  <si>
    <r>
      <t>u</t>
    </r>
    <r>
      <rPr>
        <vertAlign val="subscript"/>
        <sz val="12"/>
        <rFont val="Times New Roman"/>
        <family val="1"/>
        <charset val="204"/>
      </rPr>
      <t>В</t>
    </r>
    <r>
      <rPr>
        <sz val="12"/>
        <rFont val="Times New Roman"/>
        <family val="1"/>
        <charset val="204"/>
      </rPr>
      <t>(δ</t>
    </r>
    <r>
      <rPr>
        <vertAlign val="subscript"/>
        <sz val="12"/>
        <rFont val="Times New Roman"/>
        <family val="1"/>
        <charset val="204"/>
      </rPr>
      <t>φ</t>
    </r>
    <r>
      <rPr>
        <sz val="12"/>
        <rFont val="Times New Roman"/>
        <family val="1"/>
        <charset val="204"/>
      </rPr>
      <t>)=dφ*100/(φ*корень(3))</t>
    </r>
  </si>
  <si>
    <t>dφ=</t>
  </si>
  <si>
    <r>
      <t>u</t>
    </r>
    <r>
      <rPr>
        <vertAlign val="subscript"/>
        <sz val="12"/>
        <rFont val="Times New Roman"/>
        <family val="1"/>
        <charset val="204"/>
      </rPr>
      <t>В</t>
    </r>
    <r>
      <rPr>
        <sz val="12"/>
        <rFont val="Times New Roman"/>
        <family val="1"/>
        <charset val="204"/>
      </rPr>
      <t>(ε</t>
    </r>
    <r>
      <rPr>
        <vertAlign val="subscript"/>
        <sz val="12"/>
        <rFont val="Times New Roman"/>
        <family val="1"/>
        <charset val="204"/>
      </rPr>
      <t>Т</t>
    </r>
    <r>
      <rPr>
        <sz val="12"/>
        <rFont val="Times New Roman"/>
        <family val="1"/>
        <charset val="204"/>
      </rPr>
      <t>)=ε</t>
    </r>
    <r>
      <rPr>
        <vertAlign val="subscript"/>
        <sz val="12"/>
        <rFont val="Times New Roman"/>
        <family val="1"/>
        <charset val="204"/>
      </rPr>
      <t>Т</t>
    </r>
    <r>
      <rPr>
        <sz val="12"/>
        <rFont val="Times New Roman"/>
        <family val="1"/>
        <charset val="204"/>
      </rPr>
      <t>*100/(T*корень(3))</t>
    </r>
  </si>
  <si>
    <t>дрейф Т воздуха</t>
  </si>
  <si>
    <r>
      <t>ε</t>
    </r>
    <r>
      <rPr>
        <vertAlign val="subscript"/>
        <sz val="10"/>
        <rFont val="Arial"/>
        <family val="2"/>
        <charset val="204"/>
      </rPr>
      <t>Т</t>
    </r>
  </si>
  <si>
    <r>
      <t>°</t>
    </r>
    <r>
      <rPr>
        <sz val="12"/>
        <rFont val="Times New Roman"/>
        <family val="1"/>
        <charset val="204"/>
      </rPr>
      <t>С</t>
    </r>
  </si>
  <si>
    <r>
      <t>u</t>
    </r>
    <r>
      <rPr>
        <vertAlign val="subscript"/>
        <sz val="12"/>
        <rFont val="Times New Roman"/>
        <family val="1"/>
        <charset val="204"/>
      </rPr>
      <t>В</t>
    </r>
    <r>
      <rPr>
        <sz val="12"/>
        <rFont val="Times New Roman"/>
        <family val="1"/>
        <charset val="204"/>
      </rPr>
      <t>(ε</t>
    </r>
    <r>
      <rPr>
        <vertAlign val="subscript"/>
        <sz val="12"/>
        <rFont val="Times New Roman"/>
        <family val="1"/>
        <charset val="204"/>
      </rPr>
      <t>φ</t>
    </r>
    <r>
      <rPr>
        <sz val="12"/>
        <rFont val="Times New Roman"/>
        <family val="1"/>
        <charset val="204"/>
      </rPr>
      <t>)=ε</t>
    </r>
    <r>
      <rPr>
        <vertAlign val="subscript"/>
        <sz val="12"/>
        <rFont val="Times New Roman"/>
        <family val="1"/>
        <charset val="204"/>
      </rPr>
      <t>φ</t>
    </r>
    <r>
      <rPr>
        <sz val="12"/>
        <rFont val="Times New Roman"/>
        <family val="1"/>
        <charset val="204"/>
      </rPr>
      <t>*100/(φ*корень(3))</t>
    </r>
  </si>
  <si>
    <r>
      <t>ε</t>
    </r>
    <r>
      <rPr>
        <vertAlign val="subscript"/>
        <sz val="10"/>
        <rFont val="Arial"/>
        <family val="2"/>
        <charset val="204"/>
      </rPr>
      <t>φ</t>
    </r>
  </si>
  <si>
    <r>
      <t>ε</t>
    </r>
    <r>
      <rPr>
        <vertAlign val="subscript"/>
        <sz val="10"/>
        <rFont val="Arial"/>
        <family val="2"/>
        <charset val="204"/>
      </rPr>
      <t>Р</t>
    </r>
  </si>
  <si>
    <t>кПа</t>
  </si>
  <si>
    <r>
      <t>u</t>
    </r>
    <r>
      <rPr>
        <vertAlign val="subscript"/>
        <sz val="12"/>
        <rFont val="Times New Roman"/>
        <family val="1"/>
        <charset val="204"/>
      </rPr>
      <t>В</t>
    </r>
    <r>
      <rPr>
        <sz val="12"/>
        <rFont val="Times New Roman"/>
        <family val="1"/>
        <charset val="204"/>
      </rPr>
      <t>(ε</t>
    </r>
    <r>
      <rPr>
        <vertAlign val="subscript"/>
        <sz val="12"/>
        <rFont val="Times New Roman"/>
        <family val="1"/>
        <charset val="204"/>
      </rPr>
      <t>Р</t>
    </r>
    <r>
      <rPr>
        <sz val="12"/>
        <rFont val="Times New Roman"/>
        <family val="1"/>
        <charset val="204"/>
      </rPr>
      <t>)=ε</t>
    </r>
    <r>
      <rPr>
        <vertAlign val="subscript"/>
        <sz val="12"/>
        <rFont val="Times New Roman"/>
        <family val="1"/>
        <charset val="204"/>
      </rPr>
      <t>Р</t>
    </r>
    <r>
      <rPr>
        <sz val="12"/>
        <rFont val="Times New Roman"/>
        <family val="1"/>
        <charset val="204"/>
      </rPr>
      <t>*100/(Р*корень(6))</t>
    </r>
  </si>
  <si>
    <t>ООО "МКАИР"</t>
  </si>
  <si>
    <t>https://fgis.gost.ru/fundmetrology/cm/results/1-175124424</t>
  </si>
  <si>
    <r>
      <t>Масса заполненной меры вместимости I</t>
    </r>
    <r>
      <rPr>
        <vertAlign val="subscript"/>
        <sz val="10"/>
        <rFont val="Arial"/>
        <family val="2"/>
        <charset val="204"/>
      </rPr>
      <t>L</t>
    </r>
    <r>
      <rPr>
        <sz val="10"/>
        <rFont val="Arial"/>
        <family val="2"/>
        <charset val="204"/>
      </rPr>
      <t>, г</t>
    </r>
  </si>
  <si>
    <r>
      <t>Масса пустой меры вместимости I</t>
    </r>
    <r>
      <rPr>
        <vertAlign val="subscript"/>
        <sz val="10"/>
        <rFont val="Arial"/>
        <family val="2"/>
        <charset val="204"/>
      </rPr>
      <t>E</t>
    </r>
    <r>
      <rPr>
        <sz val="10"/>
        <rFont val="Arial"/>
        <family val="2"/>
        <charset val="204"/>
      </rPr>
      <t>, г</t>
    </r>
  </si>
  <si>
    <t>Расширенная неопределенность измерений (К=2), %</t>
  </si>
  <si>
    <t>Калибровщик:</t>
  </si>
  <si>
    <t>Протокол калибровки №</t>
  </si>
  <si>
    <t>Колба мерная лабораторная стеклянная 2-2000-2</t>
  </si>
  <si>
    <t>Владелец СИ:</t>
  </si>
  <si>
    <t>Кол-во делений:</t>
  </si>
  <si>
    <t>Кол-во промежутков</t>
  </si>
  <si>
    <t>Номер измерения</t>
  </si>
  <si>
    <t>https://fgis.gost.ru/fundmetrology/cm/results/1-243664680</t>
  </si>
  <si>
    <t>https://fgis.gost.ru/fundmetrology/cm/results/1-243664681</t>
  </si>
  <si>
    <t>https://fgis.gost.ru/fundmetrology/cm/results/1-181333848</t>
  </si>
  <si>
    <t>Результат внешнего осмотра: удовлетворительно, соответствует методике калибровки</t>
  </si>
  <si>
    <t>Чупин А. А.</t>
  </si>
  <si>
    <t>возд</t>
  </si>
  <si>
    <t>номер</t>
  </si>
  <si>
    <t>мин</t>
  </si>
  <si>
    <t>макс</t>
  </si>
  <si>
    <t>пустой</t>
  </si>
  <si>
    <t>кол-во дел-й</t>
  </si>
  <si>
    <t>воздух</t>
  </si>
  <si>
    <t>вода</t>
  </si>
  <si>
    <t>влажность</t>
  </si>
  <si>
    <t>давл</t>
  </si>
  <si>
    <t>Дата</t>
  </si>
  <si>
    <t>копировать в БД:</t>
  </si>
  <si>
    <t xml:space="preserve">ООО «МКАИР» </t>
  </si>
  <si>
    <t>I. Наименование средства измерений</t>
  </si>
  <si>
    <t xml:space="preserve">Колба мерная лабораторная стеклянная </t>
  </si>
  <si>
    <t>II. Тип</t>
  </si>
  <si>
    <t>2-2000-2</t>
  </si>
  <si>
    <t>III. Заводской номер</t>
  </si>
  <si>
    <t>IV. Наименование (владельца)</t>
  </si>
  <si>
    <t>V. Место проведения калибровки</t>
  </si>
  <si>
    <t>ООО «МКАИР»</t>
  </si>
  <si>
    <t>VI. Методика калибровки (наименование, номер, кем и когда утверждена)</t>
  </si>
  <si>
    <t xml:space="preserve">Методика калибровки. </t>
  </si>
  <si>
    <t>Колбы мерные стеклянные. МК 12.3.2-2022. Утв. 12.08.2022 ФБУ «Тюменский ЦСМ»</t>
  </si>
  <si>
    <t>VII. Результаты калибровки (действительные значения метрологических характеристик)</t>
  </si>
  <si>
    <t>IX. Доказательства прослеживаемости измерений</t>
  </si>
  <si>
    <t>(сведения об используемых при калибровке эталонах, №№ и даты св-в о поверке (аттестации))</t>
  </si>
  <si>
    <t>Главный специалист по метрологии</t>
  </si>
  <si>
    <t>должность лица, проводившего калибровку</t>
  </si>
  <si>
    <t>подпись</t>
  </si>
  <si>
    <t>/ Оттиск</t>
  </si>
  <si>
    <t>калибровочного</t>
  </si>
  <si>
    <t>клейма/</t>
  </si>
  <si>
    <t>Метрологические характеристики</t>
  </si>
  <si>
    <t>Расширенная неопределённость получена путём умножения стандартной неопределенности на коэффициент охвата k=2, соответствующего уровню доверия приблизительно равному 95% при допущении нормального распределения. Оценивание неопределенности проведено в соответствии с «Руководством по выражению неопределенности (GUM)».</t>
  </si>
  <si>
    <r>
      <t>t</t>
    </r>
    <r>
      <rPr>
        <vertAlign val="subscript"/>
        <sz val="10"/>
        <rFont val="Times New Roman"/>
        <family val="1"/>
        <charset val="204"/>
      </rPr>
      <t>0окр.среды</t>
    </r>
    <r>
      <rPr>
        <sz val="10"/>
        <rFont val="Times New Roman"/>
        <family val="1"/>
        <charset val="204"/>
      </rPr>
      <t xml:space="preserve"> =</t>
    </r>
  </si>
  <si>
    <t>φ =</t>
  </si>
  <si>
    <r>
      <t>Р</t>
    </r>
    <r>
      <rPr>
        <vertAlign val="subscript"/>
        <sz val="10"/>
        <rFont val="Times New Roman"/>
        <family val="1"/>
        <charset val="204"/>
      </rPr>
      <t>атм.</t>
    </r>
    <r>
      <rPr>
        <sz val="10"/>
        <rFont val="Times New Roman"/>
        <family val="1"/>
        <charset val="204"/>
      </rPr>
      <t xml:space="preserve"> =</t>
    </r>
  </si>
  <si>
    <t>VIII. Условия проведения калибровки:</t>
  </si>
  <si>
    <t>дата весы</t>
  </si>
  <si>
    <t>LTA</t>
  </si>
  <si>
    <t>ИВТМ</t>
  </si>
  <si>
    <t>дата калиброки</t>
  </si>
  <si>
    <t>Проверка дат используемых СИ</t>
  </si>
  <si>
    <t>если срок вышел, ячейка будет красная</t>
  </si>
  <si>
    <t>неопр-ть:</t>
  </si>
  <si>
    <t>давление</t>
  </si>
  <si>
    <t>СЕРТИФИКАТ О КАЛИБРОВКЕ</t>
  </si>
  <si>
    <t>Максимальная точка шкалы</t>
  </si>
  <si>
    <t>разброс:</t>
  </si>
  <si>
    <t>мин. Отметка:</t>
  </si>
  <si>
    <t>ПГ:</t>
  </si>
  <si>
    <t>макс Отметка:</t>
  </si>
  <si>
    <t>D15:E28</t>
  </si>
  <si>
    <t>G15:H28</t>
  </si>
  <si>
    <t>J15:K28</t>
  </si>
  <si>
    <t>M15:N28</t>
  </si>
  <si>
    <t>P15:Q28</t>
  </si>
  <si>
    <t>S15:T28</t>
  </si>
  <si>
    <t>V15:W28</t>
  </si>
  <si>
    <t>D31:E44</t>
  </si>
  <si>
    <t>G31:H44</t>
  </si>
  <si>
    <t>J31:K44</t>
  </si>
  <si>
    <t>M31:N44</t>
  </si>
  <si>
    <t>P31:Q44</t>
  </si>
  <si>
    <t>адрес диапазона</t>
  </si>
  <si>
    <t>Термометр лабораторный электронный LTA/Б-Э зав. № 870341, св-во № С-ВЯ/22-05-2024/340819047</t>
  </si>
  <si>
    <t>от 22.05.2024; Измеритель влажности и температуры ИВТМ–7 М 5–Д зав. № 83243</t>
  </si>
  <si>
    <t>св-во № С-С-ВЯ/14-05-2024/338416440 от 14.05.2024</t>
  </si>
  <si>
    <t>Термометр лабораторный электронный LTA/Б-Э зав. № 870341 дата поверки 22.05.2024</t>
  </si>
  <si>
    <t>Измеритель влажности и температуры ИВТМ–7 М 5–Д зав. № 83243 дата поверки 14.05.2024</t>
  </si>
  <si>
    <t>Юридический адрес: Ханты-Мансийский автономный округ - Югра, г.о. Нижневартовск, г Нижневартовск, ул Индустриальная, зд. 32, стр. 1, кабинет 14</t>
  </si>
  <si>
    <t>Весы лабораторные электронные LP6200S зав.№ 18302225 св-во №С-ВЯЗ/29-07-2024/361160809 от 29.07.2024</t>
  </si>
  <si>
    <t>Весы лабораторные электронные LP6200S зав.№ 18302225 дата поверки 29.07.2024</t>
  </si>
  <si>
    <t>максимум 25</t>
  </si>
  <si>
    <t>от 80 до 105</t>
  </si>
  <si>
    <t>от 40 до 80</t>
  </si>
  <si>
    <t>03.12.2024</t>
  </si>
  <si>
    <t>ООО "РН-Юганскнефтегаз"</t>
  </si>
  <si>
    <t>01.00008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</si>
</sst>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00"/>
    <numFmt numFmtId="165" formatCode="0.000"/>
    <numFmt numFmtId="166" formatCode="0.0000000000"/>
    <numFmt numFmtId="167" formatCode="0.0"/>
  </numFmts>
  <fonts count="26" x14ac:knownFonts="1">
    <font>
      <sz val="10"/>
      <name val="Arial"/>
      <family val="2"/>
      <charset val="204"/>
    </font>
    <font>
      <sz val="10"/>
      <name val="Arial"/>
      <family val="2"/>
      <charset val="1"/>
    </font>
    <font>
      <vertAlign val="subscript"/>
      <sz val="10"/>
      <name val="Arial"/>
      <family val="2"/>
      <charset val="204"/>
    </font>
    <font>
      <sz val="12"/>
      <name val="Arial"/>
      <family val="2"/>
      <charset val="204"/>
    </font>
    <font>
      <sz val="12"/>
      <name val="Times New Roman"/>
      <family val="1"/>
      <charset val="204"/>
    </font>
    <font>
      <vertAlign val="subscript"/>
      <sz val="12"/>
      <name val="Times New Roman"/>
      <family val="1"/>
      <charset val="204"/>
    </font>
    <font>
      <b/>
      <sz val="10"/>
      <name val="Arial"/>
      <family val="2"/>
      <charset val="204"/>
    </font>
    <font>
      <b/>
      <vertAlign val="subscript"/>
      <sz val="10"/>
      <name val="Arial"/>
      <family val="2"/>
      <charset val="204"/>
    </font>
    <font>
      <sz val="10"/>
      <name val="Times New Roman"/>
      <family val="1"/>
      <charset val="204"/>
    </font>
    <font>
      <vertAlign val="superscript"/>
      <sz val="12"/>
      <name val="Times New Roman"/>
      <family val="1"/>
      <charset val="204"/>
    </font>
    <font>
      <u/>
      <sz val="10"/>
      <color theme="10"/>
      <name val="Arial"/>
      <family val="2"/>
      <charset val="204"/>
    </font>
    <font>
      <sz val="11"/>
      <name val="Arial"/>
      <family val="2"/>
      <charset val="204"/>
    </font>
    <font>
      <b/>
      <sz val="10"/>
      <color rgb="FFFF0000"/>
      <name val="Arial"/>
      <family val="2"/>
      <charset val="204"/>
    </font>
    <font>
      <b/>
      <u/>
      <sz val="16"/>
      <name val="Times New Roman"/>
      <family val="1"/>
      <charset val="204"/>
    </font>
    <font>
      <b/>
      <sz val="14"/>
      <name val="Times New Roman"/>
      <family val="1"/>
      <charset val="204"/>
    </font>
    <font>
      <sz val="11"/>
      <name val="Times New Roman"/>
      <family val="1"/>
      <charset val="204"/>
    </font>
    <font>
      <i/>
      <sz val="10"/>
      <name val="Times New Roman"/>
      <family val="1"/>
      <charset val="204"/>
    </font>
    <font>
      <vertAlign val="superscript"/>
      <sz val="11"/>
      <name val="Times New Roman"/>
      <family val="1"/>
      <charset val="204"/>
    </font>
    <font>
      <sz val="8"/>
      <name val="Times New Roman"/>
      <family val="1"/>
      <charset val="204"/>
    </font>
    <font>
      <sz val="14"/>
      <name val="Times New Roman"/>
      <family val="1"/>
      <charset val="204"/>
    </font>
    <font>
      <i/>
      <sz val="14"/>
      <name val="Times New Roman"/>
      <family val="1"/>
      <charset val="204"/>
    </font>
    <font>
      <vertAlign val="subscript"/>
      <sz val="10"/>
      <name val="Times New Roman"/>
      <family val="1"/>
      <charset val="204"/>
    </font>
    <font>
      <b/>
      <i/>
      <sz val="14"/>
      <name val="Times New Roman"/>
      <family val="1"/>
      <charset val="204"/>
    </font>
    <font>
      <b/>
      <i/>
      <sz val="10"/>
      <name val="Times New Roman"/>
      <family val="1"/>
      <charset val="204"/>
    </font>
    <font>
      <b/>
      <sz val="11"/>
      <name val="Times New Roman"/>
      <family val="1"/>
      <charset val="204"/>
    </font>
    <font>
      <b/>
      <sz val="9"/>
      <name val="Arial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10">
    <xf numFmtId="0" fontId="0" fillId="0" borderId="0" xfId="0"/>
    <xf numFmtId="0" fontId="1" fillId="0" borderId="0" xfId="0" applyFont="1"/>
    <xf numFmtId="0" fontId="0" fillId="0" borderId="1" xfId="0" applyFont="1" applyBorder="1" applyAlignment="1">
      <alignment horizontal="center" vertical="center" wrapText="1"/>
    </xf>
    <xf numFmtId="0" fontId="3" fillId="0" borderId="0" xfId="0" applyFont="1"/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horizontal="left"/>
    </xf>
    <xf numFmtId="0" fontId="0" fillId="0" borderId="0" xfId="0" applyFont="1" applyFill="1" applyBorder="1" applyAlignment="1">
      <alignment horizontal="center" vertical="center" wrapText="1"/>
    </xf>
    <xf numFmtId="2" fontId="0" fillId="0" borderId="0" xfId="0" applyNumberFormat="1"/>
    <xf numFmtId="165" fontId="0" fillId="0" borderId="0" xfId="0" applyNumberFormat="1"/>
    <xf numFmtId="166" fontId="0" fillId="0" borderId="0" xfId="0" applyNumberFormat="1"/>
    <xf numFmtId="0" fontId="6" fillId="2" borderId="0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left"/>
    </xf>
    <xf numFmtId="0" fontId="8" fillId="0" borderId="0" xfId="0" applyFont="1"/>
    <xf numFmtId="0" fontId="0" fillId="2" borderId="0" xfId="0" applyFill="1"/>
    <xf numFmtId="0" fontId="6" fillId="0" borderId="0" xfId="0" applyFont="1"/>
    <xf numFmtId="165" fontId="6" fillId="0" borderId="0" xfId="0" applyNumberFormat="1" applyFont="1"/>
    <xf numFmtId="0" fontId="4" fillId="0" borderId="0" xfId="0" applyFont="1" applyAlignment="1">
      <alignment horizontal="left" wrapText="1"/>
    </xf>
    <xf numFmtId="0" fontId="4" fillId="0" borderId="0" xfId="0" applyFont="1" applyAlignment="1">
      <alignment horizontal="center" wrapText="1"/>
    </xf>
    <xf numFmtId="2" fontId="6" fillId="0" borderId="0" xfId="0" applyNumberFormat="1" applyFont="1"/>
    <xf numFmtId="0" fontId="10" fillId="0" borderId="0" xfId="1"/>
    <xf numFmtId="164" fontId="0" fillId="0" borderId="0" xfId="0" applyNumberFormat="1"/>
    <xf numFmtId="165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vertical="top"/>
    </xf>
    <xf numFmtId="167" fontId="0" fillId="0" borderId="0" xfId="0" applyNumberFormat="1"/>
    <xf numFmtId="0" fontId="0" fillId="0" borderId="0" xfId="0"/>
    <xf numFmtId="14" fontId="0" fillId="0" borderId="0" xfId="0" applyNumberFormat="1"/>
    <xf numFmtId="49" fontId="0" fillId="0" borderId="0" xfId="0" applyNumberFormat="1"/>
    <xf numFmtId="164" fontId="0" fillId="0" borderId="1" xfId="0" applyNumberFormat="1" applyBorder="1" applyAlignment="1">
      <alignment horizontal="center" vertical="center"/>
    </xf>
    <xf numFmtId="0" fontId="0" fillId="0" borderId="0" xfId="0" applyFont="1" applyFill="1" applyAlignment="1">
      <alignment horizontal="center"/>
    </xf>
    <xf numFmtId="0" fontId="0" fillId="0" borderId="0" xfId="0" applyNumberFormat="1"/>
    <xf numFmtId="167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4" fontId="0" fillId="0" borderId="0" xfId="0" quotePrefix="1" applyNumberFormat="1"/>
    <xf numFmtId="2" fontId="0" fillId="0" borderId="1" xfId="0" applyNumberFormat="1" applyBorder="1" applyAlignment="1">
      <alignment horizontal="center" vertical="center"/>
    </xf>
    <xf numFmtId="0" fontId="11" fillId="0" borderId="0" xfId="0" applyFont="1"/>
    <xf numFmtId="2" fontId="12" fillId="0" borderId="0" xfId="0" applyNumberFormat="1" applyFont="1"/>
    <xf numFmtId="0" fontId="14" fillId="0" borderId="0" xfId="0" applyFont="1" applyAlignment="1">
      <alignment horizontal="center" vertical="center"/>
    </xf>
    <xf numFmtId="0" fontId="16" fillId="0" borderId="5" xfId="0" applyFont="1" applyBorder="1" applyAlignment="1">
      <alignment vertical="center" wrapText="1"/>
    </xf>
    <xf numFmtId="0" fontId="16" fillId="0" borderId="6" xfId="0" applyFont="1" applyBorder="1" applyAlignment="1">
      <alignment vertical="center" wrapText="1"/>
    </xf>
    <xf numFmtId="0" fontId="17" fillId="0" borderId="0" xfId="0" applyFont="1" applyAlignment="1">
      <alignment horizontal="center" vertical="center"/>
    </xf>
    <xf numFmtId="0" fontId="15" fillId="0" borderId="8" xfId="0" applyFont="1" applyBorder="1" applyAlignment="1">
      <alignment vertical="center"/>
    </xf>
    <xf numFmtId="0" fontId="15" fillId="0" borderId="0" xfId="0" applyFont="1" applyBorder="1" applyAlignment="1">
      <alignment vertical="center"/>
    </xf>
    <xf numFmtId="0" fontId="17" fillId="0" borderId="0" xfId="0" applyFont="1" applyBorder="1" applyAlignment="1">
      <alignment horizontal="center" vertical="center"/>
    </xf>
    <xf numFmtId="0" fontId="15" fillId="0" borderId="8" xfId="0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9" fillId="0" borderId="0" xfId="0" applyFont="1" applyAlignment="1">
      <alignment horizontal="justify" vertical="center"/>
    </xf>
    <xf numFmtId="0" fontId="19" fillId="0" borderId="0" xfId="0" applyFont="1" applyAlignment="1">
      <alignment horizontal="center" vertical="center"/>
    </xf>
    <xf numFmtId="0" fontId="16" fillId="0" borderId="0" xfId="0" applyFont="1" applyAlignment="1">
      <alignment horizontal="justify" vertical="center"/>
    </xf>
    <xf numFmtId="0" fontId="19" fillId="0" borderId="0" xfId="0" applyFont="1" applyAlignment="1">
      <alignment horizontal="left" vertical="center"/>
    </xf>
    <xf numFmtId="0" fontId="20" fillId="0" borderId="8" xfId="0" applyFont="1" applyBorder="1" applyAlignment="1">
      <alignment horizontal="left" vertical="center"/>
    </xf>
    <xf numFmtId="0" fontId="0" fillId="0" borderId="8" xfId="0" applyBorder="1"/>
    <xf numFmtId="0" fontId="8" fillId="0" borderId="0" xfId="0" applyFont="1" applyBorder="1" applyAlignment="1">
      <alignment horizontal="left" vertical="center" wrapText="1"/>
    </xf>
    <xf numFmtId="0" fontId="16" fillId="0" borderId="5" xfId="0" applyFont="1" applyBorder="1" applyAlignment="1">
      <alignment horizontal="right" vertical="center" wrapText="1"/>
    </xf>
    <xf numFmtId="2" fontId="0" fillId="0" borderId="0" xfId="0" applyNumberFormat="1" applyAlignment="1">
      <alignment horizontal="left"/>
    </xf>
    <xf numFmtId="0" fontId="0" fillId="0" borderId="9" xfId="0" applyBorder="1"/>
    <xf numFmtId="4" fontId="0" fillId="0" borderId="1" xfId="0" applyNumberFormat="1" applyBorder="1" applyAlignment="1">
      <alignment horizontal="center" vertical="center"/>
    </xf>
    <xf numFmtId="0" fontId="0" fillId="0" borderId="0" xfId="0" applyFill="1"/>
    <xf numFmtId="0" fontId="16" fillId="0" borderId="6" xfId="0" applyFont="1" applyFill="1" applyBorder="1" applyAlignment="1">
      <alignment vertical="center" wrapText="1"/>
    </xf>
    <xf numFmtId="0" fontId="14" fillId="0" borderId="0" xfId="0" applyFont="1" applyFill="1" applyAlignment="1">
      <alignment horizontal="center" vertical="center"/>
    </xf>
    <xf numFmtId="165" fontId="6" fillId="0" borderId="0" xfId="0" applyNumberFormat="1" applyFont="1" applyAlignment="1">
      <alignment horizontal="center"/>
    </xf>
    <xf numFmtId="0" fontId="22" fillId="0" borderId="0" xfId="0" applyFont="1" applyAlignment="1">
      <alignment horizontal="left" vertical="center"/>
    </xf>
    <xf numFmtId="0" fontId="0" fillId="0" borderId="11" xfId="0" applyBorder="1" applyAlignment="1">
      <alignment horizontal="center" vertical="center"/>
    </xf>
    <xf numFmtId="167" fontId="0" fillId="0" borderId="11" xfId="0" applyNumberFormat="1" applyBorder="1" applyAlignment="1">
      <alignment horizontal="center" vertical="center"/>
    </xf>
    <xf numFmtId="0" fontId="0" fillId="0" borderId="10" xfId="0" applyBorder="1" applyAlignment="1">
      <alignment horizontal="left" vertical="center"/>
    </xf>
    <xf numFmtId="2" fontId="0" fillId="0" borderId="13" xfId="0" applyNumberFormat="1" applyBorder="1" applyAlignment="1">
      <alignment horizontal="center"/>
    </xf>
    <xf numFmtId="2" fontId="0" fillId="0" borderId="14" xfId="0" applyNumberFormat="1" applyBorder="1" applyAlignment="1">
      <alignment horizontal="center"/>
    </xf>
    <xf numFmtId="4" fontId="6" fillId="0" borderId="15" xfId="0" applyNumberFormat="1" applyFont="1" applyBorder="1" applyAlignment="1">
      <alignment horizontal="center"/>
    </xf>
    <xf numFmtId="4" fontId="0" fillId="0" borderId="1" xfId="0" applyNumberFormat="1" applyBorder="1" applyAlignment="1">
      <alignment horizontal="center" vertical="center"/>
    </xf>
    <xf numFmtId="4" fontId="0" fillId="0" borderId="0" xfId="0" applyNumberFormat="1"/>
    <xf numFmtId="0" fontId="0" fillId="0" borderId="16" xfId="0" applyFont="1" applyFill="1" applyBorder="1" applyAlignment="1">
      <alignment horizontal="center" wrapText="1"/>
    </xf>
    <xf numFmtId="0" fontId="25" fillId="0" borderId="13" xfId="0" applyFont="1" applyBorder="1" applyAlignment="1">
      <alignment horizontal="center"/>
    </xf>
    <xf numFmtId="4" fontId="25" fillId="0" borderId="14" xfId="0" applyNumberFormat="1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0" fillId="0" borderId="17" xfId="0" applyBorder="1"/>
    <xf numFmtId="0" fontId="0" fillId="0" borderId="18" xfId="0" applyBorder="1"/>
    <xf numFmtId="0" fontId="0" fillId="0" borderId="19" xfId="0" applyBorder="1" applyAlignment="1">
      <alignment horizontal="center"/>
    </xf>
    <xf numFmtId="0" fontId="0" fillId="0" borderId="21" xfId="0" applyBorder="1" applyAlignment="1">
      <alignment horizontal="center"/>
    </xf>
    <xf numFmtId="164" fontId="0" fillId="0" borderId="20" xfId="0" applyNumberFormat="1" applyBorder="1" applyAlignment="1">
      <alignment horizontal="center"/>
    </xf>
    <xf numFmtId="164" fontId="0" fillId="0" borderId="22" xfId="0" applyNumberFormat="1" applyBorder="1" applyAlignment="1">
      <alignment horizontal="center"/>
    </xf>
    <xf numFmtId="3" fontId="6" fillId="0" borderId="0" xfId="0" applyNumberFormat="1" applyFont="1" applyAlignment="1">
      <alignment horizontal="center"/>
    </xf>
    <xf numFmtId="14" fontId="0" fillId="0" borderId="12" xfId="0" applyNumberForma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 vertical="center"/>
    </xf>
    <xf numFmtId="0" fontId="8" fillId="0" borderId="0" xfId="0" applyFont="1" applyAlignment="1">
      <alignment horizontal="left" vertical="center" wrapText="1"/>
    </xf>
    <xf numFmtId="49" fontId="0" fillId="0" borderId="0" xfId="0" quotePrefix="1" applyNumberFormat="1" applyAlignment="1">
      <alignment horizontal="center"/>
    </xf>
    <xf numFmtId="0" fontId="0" fillId="0" borderId="0" xfId="0" applyAlignment="1">
      <alignment horizontal="left" wrapText="1"/>
    </xf>
    <xf numFmtId="0" fontId="0" fillId="0" borderId="1" xfId="0" applyFont="1" applyBorder="1" applyAlignment="1">
      <alignment horizontal="center" vertical="center" wrapText="1"/>
    </xf>
    <xf numFmtId="0" fontId="0" fillId="0" borderId="1" xfId="0" applyFont="1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/>
    </xf>
    <xf numFmtId="165" fontId="0" fillId="0" borderId="2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6" fillId="0" borderId="5" xfId="0" applyFont="1" applyBorder="1" applyAlignment="1">
      <alignment vertical="center" wrapText="1"/>
    </xf>
    <xf numFmtId="14" fontId="24" fillId="0" borderId="0" xfId="0" applyNumberFormat="1" applyFont="1" applyFill="1" applyAlignment="1">
      <alignment horizontal="center" vertical="center"/>
    </xf>
    <xf numFmtId="0" fontId="16" fillId="0" borderId="0" xfId="0" applyFont="1" applyAlignment="1">
      <alignment horizontal="justify" vertical="center"/>
    </xf>
    <xf numFmtId="0" fontId="16" fillId="0" borderId="6" xfId="0" applyFont="1" applyBorder="1" applyAlignment="1">
      <alignment horizontal="justify" vertical="center" wrapText="1"/>
    </xf>
    <xf numFmtId="0" fontId="8" fillId="0" borderId="0" xfId="0" applyFont="1" applyBorder="1" applyAlignment="1">
      <alignment vertical="center" wrapText="1"/>
    </xf>
    <xf numFmtId="0" fontId="8" fillId="0" borderId="0" xfId="0" applyFont="1" applyAlignment="1">
      <alignment vertical="center" wrapText="1"/>
    </xf>
    <xf numFmtId="0" fontId="0" fillId="0" borderId="0" xfId="0" applyAlignment="1">
      <alignment horizontal="center"/>
    </xf>
    <xf numFmtId="0" fontId="13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8" fillId="0" borderId="7" xfId="0" applyFont="1" applyBorder="1" applyAlignment="1">
      <alignment horizontal="left" vertical="center" wrapText="1"/>
    </xf>
    <xf numFmtId="0" fontId="15" fillId="0" borderId="8" xfId="0" applyFont="1" applyBorder="1" applyAlignment="1">
      <alignment horizontal="center" vertical="center"/>
    </xf>
    <xf numFmtId="0" fontId="8" fillId="0" borderId="7" xfId="0" applyFont="1" applyBorder="1" applyAlignment="1">
      <alignment vertical="center" wrapText="1"/>
    </xf>
    <xf numFmtId="0" fontId="23" fillId="0" borderId="5" xfId="0" applyFont="1" applyBorder="1" applyAlignment="1">
      <alignment vertical="center" wrapText="1"/>
    </xf>
    <xf numFmtId="0" fontId="16" fillId="0" borderId="6" xfId="0" applyFont="1" applyBorder="1" applyAlignment="1">
      <alignment vertical="center" wrapText="1"/>
    </xf>
    <xf numFmtId="4" fontId="0" fillId="0" borderId="0" xfId="0" applyNumberFormat="1" applyAlignment="1">
      <alignment horizontal="center"/>
    </xf>
  </cellXfs>
  <cellStyles count="2">
    <cellStyle name="Гиперссылка" xfId="1" builtinId="8"/>
    <cellStyle name="Обычный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</xdr:colOff>
          <xdr:row>87</xdr:row>
          <xdr:rowOff>45720</xdr:rowOff>
        </xdr:from>
        <xdr:to>
          <xdr:col>12</xdr:col>
          <xdr:colOff>297180</xdr:colOff>
          <xdr:row>89</xdr:row>
          <xdr:rowOff>22860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182880</xdr:colOff>
      <xdr:row>0</xdr:row>
      <xdr:rowOff>99060</xdr:rowOff>
    </xdr:from>
    <xdr:to>
      <xdr:col>11</xdr:col>
      <xdr:colOff>99060</xdr:colOff>
      <xdr:row>6</xdr:row>
      <xdr:rowOff>114300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82880" y="99060"/>
          <a:ext cx="6621780" cy="102108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44</xdr:row>
      <xdr:rowOff>83820</xdr:rowOff>
    </xdr:from>
    <xdr:to>
      <xdr:col>23</xdr:col>
      <xdr:colOff>280035</xdr:colOff>
      <xdr:row>87</xdr:row>
      <xdr:rowOff>93345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7490460"/>
          <a:ext cx="12372975" cy="721804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.xml"/><Relationship Id="rId3" Type="http://schemas.openxmlformats.org/officeDocument/2006/relationships/hyperlink" Target="https://fgis.gost.ru/fundmetrology/cm/results/1-243664681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fgis.gost.ru/fundmetrology/cm/results/1-243664680" TargetMode="External"/><Relationship Id="rId1" Type="http://schemas.openxmlformats.org/officeDocument/2006/relationships/hyperlink" Target="https://fgis.gost.ru/fundmetrology/cm/results/1-175124424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fgis.gost.ru/fundmetrology/cm/results/1-181333848" TargetMode="External"/><Relationship Id="rId9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AC97"/>
  <sheetViews>
    <sheetView tabSelected="1" view="pageBreakPreview" topLeftCell="A72" zoomScale="110" zoomScaleNormal="120" zoomScaleSheetLayoutView="110" workbookViewId="0">
      <selection activeCell="J77" sqref="J77"/>
    </sheetView>
  </sheetViews>
  <sheetFormatPr defaultColWidth="11.5546875" defaultRowHeight="13.2" x14ac:dyDescent="0.25"/>
  <cols>
    <col min="1" max="1" width="2.6640625" customWidth="1"/>
    <col min="2" max="2" width="8" customWidth="1"/>
    <col min="3" max="3" width="12.88671875" customWidth="1"/>
    <col min="4" max="4" width="12.5546875" customWidth="1"/>
    <col min="5" max="5" width="13.33203125" customWidth="1"/>
    <col min="6" max="6" width="13.109375" customWidth="1"/>
    <col min="7" max="7" width="13.33203125" customWidth="1"/>
    <col min="8" max="8" width="17.5546875" customWidth="1"/>
    <col min="9" max="9" width="13.44140625" customWidth="1"/>
    <col min="10" max="10" width="10.5546875" bestFit="1" customWidth="1"/>
    <col min="11" max="11" width="13.44140625" bestFit="1" customWidth="1"/>
    <col min="12" max="12" width="13.44140625" style="26" customWidth="1"/>
    <col min="13" max="13" width="12.88671875" bestFit="1" customWidth="1"/>
    <col min="14" max="14" width="49.6640625" customWidth="1"/>
    <col min="20" max="20" width="13.44140625" customWidth="1"/>
  </cols>
  <sheetData>
    <row r="1" spans="1:16" s="26" customFormat="1" ht="22.5" customHeight="1" x14ac:dyDescent="0.25">
      <c r="A1" s="102" t="s">
        <v>104</v>
      </c>
      <c r="B1" s="102"/>
      <c r="C1" s="102"/>
      <c r="D1" s="102"/>
      <c r="E1" s="102"/>
      <c r="F1" s="102"/>
      <c r="G1" s="102"/>
      <c r="H1" s="102"/>
    </row>
    <row r="2" spans="1:16" s="26" customFormat="1" x14ac:dyDescent="0.25"/>
    <row r="3" spans="1:16" s="26" customFormat="1" ht="26.25" customHeight="1" x14ac:dyDescent="0.25">
      <c r="A3" s="103" t="s">
        <v>163</v>
      </c>
      <c r="B3" s="103"/>
      <c r="C3" s="103"/>
      <c r="D3" s="103"/>
      <c r="E3" s="103"/>
      <c r="F3" s="103"/>
      <c r="G3" s="103"/>
      <c r="H3" s="103"/>
    </row>
    <row r="4" spans="1:16" s="26" customFormat="1" x14ac:dyDescent="0.25"/>
    <row r="5" spans="1:16" s="26" customFormat="1" ht="17.399999999999999" x14ac:dyDescent="0.25">
      <c r="E5" s="38" t="s">
        <v>139</v>
      </c>
    </row>
    <row r="6" spans="1:16" s="26" customFormat="1" ht="17.399999999999999" x14ac:dyDescent="0.25">
      <c r="E6" s="60" t="str">
        <f>CONCATENATE("№ Ч.",C87,"-",YEAR(B36)-2000)</f>
        <v>№ Ч.01.00008-24</v>
      </c>
    </row>
    <row r="7" spans="1:16" s="26" customFormat="1" ht="20.100000000000001" customHeight="1" thickBot="1" x14ac:dyDescent="0.3">
      <c r="A7" s="100" t="s">
        <v>105</v>
      </c>
      <c r="B7" s="100"/>
      <c r="C7" s="100"/>
      <c r="D7" s="100"/>
      <c r="E7" s="95" t="s">
        <v>106</v>
      </c>
      <c r="F7" s="95"/>
      <c r="G7" s="95"/>
      <c r="H7" s="95"/>
    </row>
    <row r="8" spans="1:16" s="26" customFormat="1" ht="20.100000000000001" customHeight="1" thickBot="1" x14ac:dyDescent="0.3">
      <c r="A8" s="86" t="s">
        <v>107</v>
      </c>
      <c r="B8" s="86"/>
      <c r="C8" s="39" t="s">
        <v>108</v>
      </c>
      <c r="D8" s="39"/>
      <c r="E8" s="39"/>
      <c r="F8" s="39"/>
      <c r="G8" s="39"/>
      <c r="H8" s="39"/>
    </row>
    <row r="9" spans="1:16" s="26" customFormat="1" ht="20.100000000000001" customHeight="1" thickBot="1" x14ac:dyDescent="0.3">
      <c r="A9" s="86" t="s">
        <v>109</v>
      </c>
      <c r="B9" s="86"/>
      <c r="C9" s="86"/>
      <c r="D9" s="59" t="str">
        <f>C87</f>
        <v>01.00008</v>
      </c>
      <c r="E9" s="40"/>
      <c r="F9" s="40"/>
      <c r="G9" s="40"/>
      <c r="H9" s="40"/>
    </row>
    <row r="10" spans="1:16" s="26" customFormat="1" ht="20.100000000000001" customHeight="1" thickBot="1" x14ac:dyDescent="0.3">
      <c r="A10" s="100" t="s">
        <v>110</v>
      </c>
      <c r="B10" s="100"/>
      <c r="C10" s="100"/>
      <c r="D10" s="100"/>
      <c r="E10" s="108" t="str">
        <f>D88</f>
        <v>ООО "РН-Юганскнефтегаз"</v>
      </c>
      <c r="F10" s="108"/>
      <c r="G10" s="108"/>
      <c r="H10" s="108"/>
    </row>
    <row r="11" spans="1:16" s="26" customFormat="1" ht="20.100000000000001" customHeight="1" thickBot="1" x14ac:dyDescent="0.3">
      <c r="A11" s="86" t="s">
        <v>111</v>
      </c>
      <c r="B11" s="86"/>
      <c r="C11" s="86"/>
      <c r="D11" s="86"/>
      <c r="E11" s="108" t="s">
        <v>112</v>
      </c>
      <c r="F11" s="108"/>
      <c r="G11" s="108"/>
      <c r="H11" s="108"/>
    </row>
    <row r="12" spans="1:16" s="26" customFormat="1" ht="20.100000000000001" customHeight="1" thickBot="1" x14ac:dyDescent="0.3">
      <c r="A12" s="100" t="s">
        <v>113</v>
      </c>
      <c r="B12" s="100"/>
      <c r="C12" s="100"/>
      <c r="D12" s="100"/>
      <c r="E12" s="100"/>
      <c r="F12" s="100"/>
      <c r="G12" s="108" t="s">
        <v>114</v>
      </c>
      <c r="H12" s="108"/>
    </row>
    <row r="13" spans="1:16" s="26" customFormat="1" ht="20.100000000000001" customHeight="1" thickBot="1" x14ac:dyDescent="0.3">
      <c r="A13" s="95" t="s">
        <v>115</v>
      </c>
      <c r="B13" s="95"/>
      <c r="C13" s="95"/>
      <c r="D13" s="95"/>
      <c r="E13" s="95"/>
      <c r="F13" s="95"/>
      <c r="G13" s="95"/>
      <c r="H13" s="95"/>
    </row>
    <row r="14" spans="1:16" s="26" customFormat="1" ht="20.100000000000001" customHeight="1" thickBot="1" x14ac:dyDescent="0.3">
      <c r="A14" s="106" t="s">
        <v>116</v>
      </c>
      <c r="B14" s="106"/>
      <c r="C14" s="106"/>
      <c r="D14" s="106"/>
      <c r="E14" s="106"/>
      <c r="F14" s="106"/>
      <c r="G14" s="106"/>
      <c r="H14" s="39"/>
      <c r="N14"/>
      <c r="O14"/>
      <c r="P14"/>
    </row>
    <row r="15" spans="1:16" s="26" customFormat="1" ht="20.100000000000001" customHeight="1" thickBot="1" x14ac:dyDescent="0.3">
      <c r="A15" s="107" t="str">
        <f ca="1">CONCATENATE("Цена деления шкалы ",D90," мл; Расширенная неопределенность измерений (К=2) ",E90," %")</f>
        <v>Цена деления шкалы 1,163 мл; Расширенная неопределенность измерений (К=2) 0,003 %</v>
      </c>
      <c r="B15" s="107"/>
      <c r="C15" s="107"/>
      <c r="D15" s="107"/>
      <c r="E15" s="107"/>
      <c r="F15" s="107"/>
      <c r="G15" s="107"/>
      <c r="H15" s="107"/>
      <c r="N15"/>
      <c r="O15"/>
      <c r="P15"/>
    </row>
    <row r="16" spans="1:16" s="26" customFormat="1" ht="20.100000000000001" customHeight="1" thickBot="1" x14ac:dyDescent="0.3">
      <c r="A16" s="104" t="s">
        <v>130</v>
      </c>
      <c r="B16" s="104"/>
      <c r="C16" s="104"/>
      <c r="D16" s="104"/>
      <c r="E16" s="54" t="s">
        <v>127</v>
      </c>
      <c r="F16" s="39" t="str">
        <f>CONCATENATE(F90," °С")</f>
        <v>24,7 °С</v>
      </c>
      <c r="G16" s="39"/>
      <c r="H16" s="39"/>
      <c r="J16" s="13" t="s">
        <v>7</v>
      </c>
      <c r="N16"/>
      <c r="O16"/>
      <c r="P16"/>
    </row>
    <row r="17" spans="1:16" s="26" customFormat="1" ht="20.100000000000001" customHeight="1" thickBot="1" x14ac:dyDescent="0.3">
      <c r="A17" s="53"/>
      <c r="B17" s="53"/>
      <c r="E17" s="54" t="s">
        <v>128</v>
      </c>
      <c r="F17" s="39" t="str">
        <f>CONCATENATE(G90," %")</f>
        <v>41 %</v>
      </c>
      <c r="G17" s="39"/>
      <c r="H17" s="39"/>
      <c r="J17" s="26" t="s">
        <v>10</v>
      </c>
      <c r="N17"/>
      <c r="O17"/>
      <c r="P17"/>
    </row>
    <row r="18" spans="1:16" s="26" customFormat="1" ht="20.100000000000001" customHeight="1" thickBot="1" x14ac:dyDescent="0.3">
      <c r="A18" s="53"/>
      <c r="B18" s="53"/>
      <c r="E18" s="54" t="s">
        <v>129</v>
      </c>
      <c r="F18" s="39" t="str">
        <f>CONCATENATE(H90," кПа")</f>
        <v>100,8 кПа</v>
      </c>
      <c r="G18" s="39"/>
      <c r="H18" s="39"/>
      <c r="N18"/>
      <c r="O18"/>
      <c r="P18"/>
    </row>
    <row r="19" spans="1:16" s="26" customFormat="1" ht="20.100000000000001" customHeight="1" x14ac:dyDescent="0.25">
      <c r="A19" s="99" t="s">
        <v>117</v>
      </c>
      <c r="B19" s="99"/>
      <c r="C19" s="99"/>
      <c r="D19" s="99"/>
      <c r="E19" s="99"/>
      <c r="F19" s="99"/>
      <c r="G19" s="99"/>
      <c r="H19" s="99"/>
      <c r="N19"/>
      <c r="O19"/>
      <c r="P19"/>
    </row>
    <row r="20" spans="1:16" s="26" customFormat="1" ht="20.100000000000001" customHeight="1" x14ac:dyDescent="0.25">
      <c r="A20" s="100" t="s">
        <v>118</v>
      </c>
      <c r="B20" s="100"/>
      <c r="C20" s="100"/>
      <c r="D20" s="100"/>
      <c r="E20" s="100"/>
      <c r="F20" s="100"/>
      <c r="G20" s="100"/>
      <c r="H20" s="100"/>
      <c r="N20"/>
      <c r="O20"/>
      <c r="P20"/>
    </row>
    <row r="21" spans="1:16" s="26" customFormat="1" ht="20.100000000000001" customHeight="1" thickBot="1" x14ac:dyDescent="0.3">
      <c r="A21" s="95" t="s">
        <v>164</v>
      </c>
      <c r="B21" s="95"/>
      <c r="C21" s="95"/>
      <c r="D21" s="95"/>
      <c r="E21" s="95"/>
      <c r="F21" s="95"/>
      <c r="G21" s="95"/>
      <c r="H21" s="95"/>
      <c r="N21"/>
      <c r="O21"/>
      <c r="P21"/>
    </row>
    <row r="22" spans="1:16" s="26" customFormat="1" ht="20.100000000000001" customHeight="1" thickBot="1" x14ac:dyDescent="0.3">
      <c r="A22" s="98" t="s">
        <v>158</v>
      </c>
      <c r="B22" s="98"/>
      <c r="C22" s="98"/>
      <c r="D22" s="98"/>
      <c r="E22" s="98"/>
      <c r="F22" s="98"/>
      <c r="G22" s="98"/>
      <c r="H22" s="98"/>
    </row>
    <row r="23" spans="1:16" s="26" customFormat="1" ht="20.100000000000001" customHeight="1" thickBot="1" x14ac:dyDescent="0.3">
      <c r="A23" s="98" t="s">
        <v>159</v>
      </c>
      <c r="B23" s="98"/>
      <c r="C23" s="98"/>
      <c r="D23" s="98"/>
      <c r="E23" s="98"/>
      <c r="F23" s="98"/>
      <c r="G23" s="98"/>
      <c r="H23" s="98"/>
    </row>
    <row r="24" spans="1:16" s="26" customFormat="1" ht="20.100000000000001" customHeight="1" thickBot="1" x14ac:dyDescent="0.3">
      <c r="A24" s="98" t="s">
        <v>160</v>
      </c>
      <c r="B24" s="98"/>
      <c r="C24" s="98"/>
      <c r="D24" s="98"/>
      <c r="E24" s="98"/>
      <c r="F24" s="98"/>
      <c r="G24" s="98"/>
      <c r="H24" s="98"/>
    </row>
    <row r="25" spans="1:16" s="26" customFormat="1" ht="41.25" customHeight="1" x14ac:dyDescent="0.25"/>
    <row r="26" spans="1:16" s="26" customFormat="1" ht="13.8" x14ac:dyDescent="0.25">
      <c r="B26" s="105" t="s">
        <v>119</v>
      </c>
      <c r="C26" s="105"/>
      <c r="D26" s="105"/>
      <c r="F26" s="42"/>
      <c r="G26" s="43"/>
      <c r="H26" s="45" t="s">
        <v>91</v>
      </c>
    </row>
    <row r="27" spans="1:16" s="26" customFormat="1" ht="16.8" x14ac:dyDescent="0.25">
      <c r="C27" s="41" t="s">
        <v>120</v>
      </c>
      <c r="F27" s="41" t="s">
        <v>121</v>
      </c>
      <c r="G27" s="44"/>
      <c r="H27" s="41" t="s">
        <v>121</v>
      </c>
    </row>
    <row r="28" spans="1:16" s="26" customFormat="1" x14ac:dyDescent="0.25"/>
    <row r="29" spans="1:16" s="26" customFormat="1" x14ac:dyDescent="0.25">
      <c r="C29" s="46" t="s">
        <v>122</v>
      </c>
    </row>
    <row r="30" spans="1:16" s="26" customFormat="1" x14ac:dyDescent="0.25">
      <c r="C30" s="46" t="s">
        <v>123</v>
      </c>
    </row>
    <row r="31" spans="1:16" s="26" customFormat="1" x14ac:dyDescent="0.25">
      <c r="C31" s="46" t="s">
        <v>124</v>
      </c>
    </row>
    <row r="32" spans="1:16" s="26" customFormat="1" x14ac:dyDescent="0.25"/>
    <row r="33" spans="1:8" s="26" customFormat="1" ht="13.8" x14ac:dyDescent="0.25">
      <c r="B33" s="105" t="s">
        <v>119</v>
      </c>
      <c r="C33" s="105"/>
      <c r="D33" s="105"/>
      <c r="F33" s="42"/>
      <c r="G33" s="43"/>
      <c r="H33" s="45" t="s">
        <v>91</v>
      </c>
    </row>
    <row r="34" spans="1:8" s="26" customFormat="1" ht="16.8" x14ac:dyDescent="0.25">
      <c r="C34" s="41" t="s">
        <v>120</v>
      </c>
      <c r="F34" s="41" t="s">
        <v>121</v>
      </c>
      <c r="G34" s="44"/>
      <c r="H34" s="41" t="s">
        <v>121</v>
      </c>
    </row>
    <row r="35" spans="1:8" s="26" customFormat="1" x14ac:dyDescent="0.25"/>
    <row r="36" spans="1:8" s="26" customFormat="1" ht="13.8" x14ac:dyDescent="0.25">
      <c r="B36" s="96" t="str">
        <f>CONCATENATE(A87)</f>
        <v>03.12.2024</v>
      </c>
      <c r="C36" s="96"/>
    </row>
    <row r="37" spans="1:8" s="26" customFormat="1" x14ac:dyDescent="0.25"/>
    <row r="38" spans="1:8" s="26" customFormat="1" ht="18.75" customHeight="1" x14ac:dyDescent="0.25">
      <c r="B38" s="50" t="str">
        <f>CONCATENATE("Номер сертификата: Ч.",C87,"-",YEAR(B36)-2000)</f>
        <v>Номер сертификата: Ч.01.00008-24</v>
      </c>
      <c r="D38" s="58"/>
    </row>
    <row r="39" spans="1:8" s="26" customFormat="1" ht="6.75" customHeight="1" x14ac:dyDescent="0.25">
      <c r="B39" s="47"/>
    </row>
    <row r="40" spans="1:8" s="26" customFormat="1" ht="18" x14ac:dyDescent="0.25">
      <c r="B40" s="48"/>
      <c r="E40" s="48" t="s">
        <v>125</v>
      </c>
    </row>
    <row r="41" spans="1:8" s="26" customFormat="1" ht="7.5" customHeight="1" x14ac:dyDescent="0.25"/>
    <row r="42" spans="1:8" s="26" customFormat="1" ht="18" x14ac:dyDescent="0.25">
      <c r="B42" s="62" t="str">
        <f ca="1">CONCATENATE("Цена деления шкалы ",D90," мл")</f>
        <v>Цена деления шкалы 1,163 мл</v>
      </c>
    </row>
    <row r="43" spans="1:8" s="26" customFormat="1" ht="4.5" customHeight="1" x14ac:dyDescent="0.25"/>
    <row r="44" spans="1:8" s="26" customFormat="1" ht="18" x14ac:dyDescent="0.25">
      <c r="B44" s="51" t="str">
        <f ca="1">CONCATENATE("Расширенная неопределенность измерений (К=2) ",E90," %")</f>
        <v>Расширенная неопределенность измерений (К=2) 0,003 %</v>
      </c>
      <c r="C44" s="52"/>
      <c r="D44" s="52"/>
      <c r="E44" s="52"/>
      <c r="F44" s="52"/>
      <c r="G44" s="52"/>
      <c r="H44" s="52"/>
    </row>
    <row r="45" spans="1:8" s="26" customFormat="1" ht="3" customHeight="1" x14ac:dyDescent="0.25">
      <c r="B45" s="49"/>
    </row>
    <row r="46" spans="1:8" s="26" customFormat="1" ht="52.5" customHeight="1" x14ac:dyDescent="0.25">
      <c r="B46" s="97" t="s">
        <v>126</v>
      </c>
      <c r="C46" s="97"/>
      <c r="D46" s="97"/>
      <c r="E46" s="97"/>
      <c r="F46" s="97"/>
      <c r="G46" s="97"/>
      <c r="H46" s="97"/>
    </row>
    <row r="47" spans="1:8" s="26" customFormat="1" ht="13.8" thickBot="1" x14ac:dyDescent="0.3">
      <c r="A47" s="56"/>
      <c r="B47" s="56"/>
      <c r="C47" s="56"/>
      <c r="D47" s="56"/>
      <c r="E47" s="56"/>
      <c r="F47" s="56"/>
      <c r="G47" s="56"/>
      <c r="H47" s="56"/>
    </row>
    <row r="48" spans="1:8" s="26" customFormat="1" ht="2.25" customHeight="1" x14ac:dyDescent="0.25"/>
    <row r="49" spans="1:20" x14ac:dyDescent="0.25">
      <c r="A49" s="26"/>
      <c r="B49" s="26"/>
      <c r="C49" s="26"/>
      <c r="D49" s="23" t="s">
        <v>81</v>
      </c>
      <c r="E49" s="30" t="str">
        <f>CONCATENATE("Ч.",E52,"-",(YEAR(B36)-2000))</f>
        <v>Ч.01.00008-24</v>
      </c>
      <c r="F49" s="27" t="str">
        <f>CONCATENATE("от ",A87)</f>
        <v>от 03.12.2024</v>
      </c>
      <c r="G49" s="26"/>
      <c r="H49" s="26"/>
      <c r="K49" s="34"/>
      <c r="L49" s="34"/>
    </row>
    <row r="50" spans="1:20" x14ac:dyDescent="0.25">
      <c r="A50" s="26"/>
      <c r="B50" s="26"/>
      <c r="C50" s="26"/>
      <c r="D50" s="26"/>
      <c r="E50" s="26"/>
      <c r="F50" s="26"/>
      <c r="G50" s="26"/>
      <c r="H50" s="26"/>
    </row>
    <row r="51" spans="1:20" x14ac:dyDescent="0.25">
      <c r="A51" s="26" t="s">
        <v>0</v>
      </c>
      <c r="B51" s="26"/>
      <c r="C51" s="26"/>
      <c r="D51" s="26"/>
      <c r="E51" s="26" t="s">
        <v>82</v>
      </c>
      <c r="F51" s="26"/>
      <c r="G51" s="26"/>
      <c r="H51" s="26"/>
    </row>
    <row r="52" spans="1:20" x14ac:dyDescent="0.25">
      <c r="A52" t="s">
        <v>1</v>
      </c>
      <c r="E52" t="str">
        <f>C87</f>
        <v>01.00008</v>
      </c>
    </row>
    <row r="53" spans="1:20" x14ac:dyDescent="0.25">
      <c r="A53" t="s">
        <v>18</v>
      </c>
      <c r="E53" t="s">
        <v>75</v>
      </c>
    </row>
    <row r="54" spans="1:20" x14ac:dyDescent="0.25">
      <c r="A54" t="s">
        <v>83</v>
      </c>
      <c r="E54" t="str">
        <f>D88</f>
        <v>ООО "РН-Юганскнефтегаз"</v>
      </c>
    </row>
    <row r="55" spans="1:20" ht="27" customHeight="1" x14ac:dyDescent="0.25">
      <c r="A55" t="s">
        <v>2</v>
      </c>
      <c r="B55" s="24"/>
      <c r="E55" s="88" t="s">
        <v>3</v>
      </c>
      <c r="F55" s="88"/>
      <c r="G55" s="88"/>
      <c r="H55" s="88"/>
    </row>
    <row r="57" spans="1:20" x14ac:dyDescent="0.25">
      <c r="A57" t="s">
        <v>4</v>
      </c>
    </row>
    <row r="58" spans="1:20" x14ac:dyDescent="0.25">
      <c r="B58" s="26" t="s">
        <v>165</v>
      </c>
      <c r="O58" s="20" t="s">
        <v>76</v>
      </c>
    </row>
    <row r="59" spans="1:20" x14ac:dyDescent="0.25">
      <c r="A59" s="26"/>
      <c r="B59" s="26" t="s">
        <v>161</v>
      </c>
      <c r="C59" s="26"/>
      <c r="D59" s="26"/>
      <c r="E59" s="26"/>
      <c r="F59" s="26"/>
      <c r="G59" s="26"/>
      <c r="H59" s="26"/>
      <c r="O59" s="20" t="s">
        <v>87</v>
      </c>
      <c r="T59" s="20" t="s">
        <v>88</v>
      </c>
    </row>
    <row r="60" spans="1:20" x14ac:dyDescent="0.25">
      <c r="B60" t="s">
        <v>162</v>
      </c>
      <c r="O60" s="20" t="s">
        <v>89</v>
      </c>
    </row>
    <row r="62" spans="1:20" x14ac:dyDescent="0.25">
      <c r="A62" t="s">
        <v>5</v>
      </c>
      <c r="J62">
        <v>760</v>
      </c>
      <c r="K62">
        <v>740</v>
      </c>
      <c r="N62">
        <v>740</v>
      </c>
    </row>
    <row r="63" spans="1:20" x14ac:dyDescent="0.25">
      <c r="B63" t="s">
        <v>6</v>
      </c>
      <c r="E63" s="25">
        <f>H87</f>
        <v>24.7</v>
      </c>
      <c r="F63" s="1" t="s">
        <v>7</v>
      </c>
      <c r="I63" t="s">
        <v>92</v>
      </c>
    </row>
    <row r="64" spans="1:20" x14ac:dyDescent="0.25">
      <c r="B64" t="s">
        <v>8</v>
      </c>
      <c r="E64" s="25">
        <f>I87</f>
        <v>24.6</v>
      </c>
      <c r="F64" s="1" t="s">
        <v>7</v>
      </c>
      <c r="I64">
        <v>19</v>
      </c>
      <c r="J64">
        <v>1.00268</v>
      </c>
      <c r="K64">
        <v>1.0026200000000001</v>
      </c>
      <c r="M64">
        <v>27</v>
      </c>
      <c r="N64">
        <v>1.00441</v>
      </c>
    </row>
    <row r="65" spans="1:29" x14ac:dyDescent="0.25">
      <c r="B65" t="s">
        <v>9</v>
      </c>
      <c r="E65" s="26">
        <f>J87</f>
        <v>41</v>
      </c>
      <c r="F65" t="s">
        <v>10</v>
      </c>
      <c r="I65">
        <v>20</v>
      </c>
      <c r="J65">
        <v>1.0028600000000001</v>
      </c>
      <c r="K65">
        <v>1.00284</v>
      </c>
    </row>
    <row r="66" spans="1:29" x14ac:dyDescent="0.25">
      <c r="B66" t="s">
        <v>11</v>
      </c>
      <c r="E66" s="31">
        <f>K87</f>
        <v>756</v>
      </c>
      <c r="F66" t="s">
        <v>12</v>
      </c>
      <c r="I66">
        <v>21</v>
      </c>
      <c r="J66">
        <v>1.0030600000000001</v>
      </c>
    </row>
    <row r="67" spans="1:29" x14ac:dyDescent="0.25">
      <c r="E67" s="25">
        <f>E66*0.133321995</f>
        <v>100.79142822</v>
      </c>
      <c r="F67" t="s">
        <v>73</v>
      </c>
      <c r="I67">
        <v>22</v>
      </c>
      <c r="J67">
        <v>1.00326</v>
      </c>
      <c r="K67">
        <v>1.0032399999999999</v>
      </c>
    </row>
    <row r="68" spans="1:29" x14ac:dyDescent="0.25">
      <c r="A68" t="s">
        <v>90</v>
      </c>
      <c r="I68" s="26">
        <v>23</v>
      </c>
      <c r="J68" s="26">
        <v>1.0034799999999999</v>
      </c>
    </row>
    <row r="69" spans="1:29" x14ac:dyDescent="0.25">
      <c r="I69" s="26">
        <v>24</v>
      </c>
      <c r="J69" s="26">
        <v>1.0037</v>
      </c>
      <c r="K69">
        <v>1.0036700000000001</v>
      </c>
    </row>
    <row r="70" spans="1:29" x14ac:dyDescent="0.25">
      <c r="A70" t="s">
        <v>13</v>
      </c>
      <c r="I70">
        <v>25</v>
      </c>
      <c r="J70">
        <v>1.00393</v>
      </c>
      <c r="K70">
        <v>1.0039100000000001</v>
      </c>
    </row>
    <row r="71" spans="1:29" x14ac:dyDescent="0.25">
      <c r="I71">
        <v>26</v>
      </c>
      <c r="J71">
        <v>1.0041800000000001</v>
      </c>
      <c r="K71">
        <v>1.0041500000000001</v>
      </c>
      <c r="W71" t="s">
        <v>67</v>
      </c>
    </row>
    <row r="72" spans="1:29" ht="71.400000000000006" thickBot="1" x14ac:dyDescent="0.45">
      <c r="A72" s="89" t="s">
        <v>86</v>
      </c>
      <c r="B72" s="89"/>
      <c r="C72" s="2" t="s">
        <v>77</v>
      </c>
      <c r="D72" s="2" t="s">
        <v>78</v>
      </c>
      <c r="E72" s="2" t="s">
        <v>14</v>
      </c>
      <c r="F72" s="2" t="s">
        <v>15</v>
      </c>
      <c r="G72" s="2" t="s">
        <v>59</v>
      </c>
      <c r="H72" s="2" t="s">
        <v>79</v>
      </c>
      <c r="J72" s="71" t="s">
        <v>141</v>
      </c>
      <c r="K72" s="7" t="s">
        <v>40</v>
      </c>
      <c r="L72" s="7"/>
      <c r="M72" s="7" t="s">
        <v>41</v>
      </c>
      <c r="N72" s="11" t="s">
        <v>42</v>
      </c>
      <c r="O72" t="s">
        <v>48</v>
      </c>
      <c r="P72" s="5" t="s">
        <v>21</v>
      </c>
      <c r="Q72" s="17" t="s">
        <v>49</v>
      </c>
      <c r="R72" s="18" t="s">
        <v>51</v>
      </c>
      <c r="S72" s="18" t="s">
        <v>54</v>
      </c>
      <c r="T72" s="18" t="s">
        <v>61</v>
      </c>
      <c r="U72" s="18" t="s">
        <v>63</v>
      </c>
      <c r="V72" s="18" t="s">
        <v>64</v>
      </c>
      <c r="W72" s="18" t="s">
        <v>66</v>
      </c>
      <c r="X72" s="18" t="s">
        <v>70</v>
      </c>
      <c r="Y72" s="18" t="s">
        <v>74</v>
      </c>
    </row>
    <row r="73" spans="1:29" ht="13.8" thickBot="1" x14ac:dyDescent="0.3">
      <c r="A73" s="90" t="s">
        <v>16</v>
      </c>
      <c r="B73" s="90"/>
      <c r="C73" s="90"/>
      <c r="D73" s="90"/>
      <c r="E73" s="90"/>
      <c r="F73" s="90"/>
      <c r="G73" s="90"/>
      <c r="H73" s="90"/>
      <c r="J73">
        <v>7.0000000000000007E-2</v>
      </c>
      <c r="L73" s="72" t="s">
        <v>142</v>
      </c>
      <c r="AA73" t="s">
        <v>157</v>
      </c>
    </row>
    <row r="74" spans="1:29" ht="15.75" customHeight="1" x14ac:dyDescent="0.25">
      <c r="A74" s="85">
        <v>1</v>
      </c>
      <c r="B74" s="85"/>
      <c r="C74" s="69">
        <v>2527.73</v>
      </c>
      <c r="D74" s="35">
        <f>ROUND(F87,2)</f>
        <v>568.99</v>
      </c>
      <c r="E74" s="29">
        <f ca="1">VLOOKUP(AB74,INDIRECT(AC74),2,1)</f>
        <v>1.00393</v>
      </c>
      <c r="F74" s="57">
        <f ca="1">(C74-D74)*E74</f>
        <v>1966.4378482</v>
      </c>
      <c r="G74" s="91">
        <f ca="1">(F74+F75+F76)/3</f>
        <v>1966.4110767333332</v>
      </c>
      <c r="H74" s="92">
        <f ca="1">O84</f>
        <v>2.5656523798727507E-3</v>
      </c>
      <c r="I74" s="66">
        <f>C74-$I$77</f>
        <v>2.6666666666642413E-2</v>
      </c>
      <c r="K74" s="10">
        <f ca="1">(F74-G74)^2</f>
        <v>7.1671142749089238E-4</v>
      </c>
      <c r="L74" s="73"/>
      <c r="M74">
        <f ca="1">SQRT(SUM(K74:K76)/2)/G74*100</f>
        <v>1.559723115836228E-3</v>
      </c>
      <c r="N74" s="15">
        <f ca="1">M74/SQRT(3)</f>
        <v>9.005065607893282E-4</v>
      </c>
      <c r="O74" s="8">
        <f>AVERAGE(C74:C76)*1000</f>
        <v>2527703.3333333335</v>
      </c>
      <c r="P74" s="15">
        <f>O76/(O74*SQRT(3))*100</f>
        <v>9.1363612426504542E-4</v>
      </c>
      <c r="Q74" s="16">
        <f>Q76*100/(O74*2*SQRT(3))</f>
        <v>1.1420451553313068E-4</v>
      </c>
      <c r="R74" s="19">
        <f>R76*100/($E$64*SQRT(3))</f>
        <v>0.11734761568894832</v>
      </c>
      <c r="S74" s="19">
        <f>S76*100/($E$64*SQRT(3))</f>
        <v>0.23469523137789164</v>
      </c>
      <c r="T74" s="19">
        <f ca="1">10*0.000001*100/(T76*SQRT(3))</f>
        <v>0.57961925574754103</v>
      </c>
      <c r="U74" s="19">
        <f>U76*100/($E$63*SQRT(3))</f>
        <v>0.11687252412745462</v>
      </c>
      <c r="V74" s="19">
        <f>V76*100/($E$65*SQRT(3))</f>
        <v>2.8163427765347597</v>
      </c>
      <c r="W74" s="19">
        <f>W76*100/($E$63*SQRT(3))</f>
        <v>1.1687252412745461</v>
      </c>
      <c r="X74" s="19">
        <f>X76*100/($E$65*SQRT(3))</f>
        <v>2.8163427765347597</v>
      </c>
      <c r="Y74" s="19">
        <f>Y76*100/($E$67*SQRT(6))</f>
        <v>8.1008533696490369E-3</v>
      </c>
      <c r="AA74" t="str">
        <f>VLOOKUP(ROUND(E66/20,0)*20,таблица_давлений,2,0)</f>
        <v>J31:K44</v>
      </c>
      <c r="AB74" s="25">
        <f>ROUND(E63,0)</f>
        <v>25</v>
      </c>
      <c r="AC74" t="str">
        <f>CONCATENATE("'к-т_коррекции'!",AA74)</f>
        <v>'к-т_коррекции'!J31:K44</v>
      </c>
    </row>
    <row r="75" spans="1:29" ht="15.75" customHeight="1" x14ac:dyDescent="0.4">
      <c r="A75" s="85">
        <v>2</v>
      </c>
      <c r="B75" s="85"/>
      <c r="C75" s="69">
        <v>2527.71</v>
      </c>
      <c r="D75" s="35">
        <f>D74</f>
        <v>568.99</v>
      </c>
      <c r="E75" s="29">
        <f ca="1">E74</f>
        <v>1.00393</v>
      </c>
      <c r="F75" s="57">
        <f t="shared" ref="F75:F76" ca="1" si="0">(C75-D75)*E75</f>
        <v>1966.4177695999999</v>
      </c>
      <c r="G75" s="91"/>
      <c r="H75" s="93"/>
      <c r="I75" s="67">
        <f>C75-$I$77</f>
        <v>6.6666666666606034E-3</v>
      </c>
      <c r="K75" s="10">
        <f ca="1">(F75-G74)^2</f>
        <v>4.479446421894166E-5</v>
      </c>
      <c r="L75" s="74" t="s">
        <v>143</v>
      </c>
      <c r="O75" s="13" t="s">
        <v>46</v>
      </c>
      <c r="Q75" t="s">
        <v>50</v>
      </c>
      <c r="R75" t="s">
        <v>52</v>
      </c>
      <c r="S75" s="18" t="s">
        <v>55</v>
      </c>
      <c r="T75" t="s">
        <v>62</v>
      </c>
      <c r="U75" t="s">
        <v>52</v>
      </c>
      <c r="V75" t="s">
        <v>65</v>
      </c>
      <c r="W75" t="s">
        <v>68</v>
      </c>
      <c r="X75" t="s">
        <v>71</v>
      </c>
      <c r="Y75" t="s">
        <v>72</v>
      </c>
      <c r="AB75" t="str">
        <f>'к-т_коррекции'!C15</f>
        <v>D15:E28</v>
      </c>
    </row>
    <row r="76" spans="1:29" ht="15.75" customHeight="1" thickBot="1" x14ac:dyDescent="0.3">
      <c r="A76" s="85">
        <v>3</v>
      </c>
      <c r="B76" s="85"/>
      <c r="C76" s="69">
        <v>2527.67</v>
      </c>
      <c r="D76" s="35">
        <f>D75</f>
        <v>568.99</v>
      </c>
      <c r="E76" s="29">
        <f ca="1">E75</f>
        <v>1.00393</v>
      </c>
      <c r="F76" s="57">
        <f t="shared" ca="1" si="0"/>
        <v>1966.3776124000001</v>
      </c>
      <c r="G76" s="91"/>
      <c r="H76" s="94"/>
      <c r="I76" s="67">
        <f>C76-$I$77</f>
        <v>-3.3333333333303017E-2</v>
      </c>
      <c r="K76" s="10">
        <f ca="1">(F76-G74)^2</f>
        <v>1.1198616054278882E-3</v>
      </c>
      <c r="L76" s="68">
        <f ca="1">G74-(2000+L74)</f>
        <v>-33.588923266666825</v>
      </c>
      <c r="O76" s="14">
        <v>40</v>
      </c>
      <c r="Q76" s="14">
        <v>10</v>
      </c>
      <c r="R76">
        <v>0.05</v>
      </c>
      <c r="S76">
        <f>ABS(E63-E64)</f>
        <v>9.9999999999997868E-2</v>
      </c>
      <c r="T76">
        <f ca="1">(AVERAGE(C74:C76)-AVERAGE(D74:D76))/G74/1000</f>
        <v>9.9608538443915419E-4</v>
      </c>
      <c r="U76">
        <v>0.05</v>
      </c>
      <c r="V76">
        <v>2</v>
      </c>
      <c r="W76">
        <v>0.5</v>
      </c>
      <c r="X76">
        <v>2</v>
      </c>
      <c r="Y76">
        <v>0.02</v>
      </c>
    </row>
    <row r="77" spans="1:29" ht="16.2" thickBot="1" x14ac:dyDescent="0.35">
      <c r="A77" s="90" t="s">
        <v>140</v>
      </c>
      <c r="B77" s="90"/>
      <c r="C77" s="90"/>
      <c r="D77" s="90"/>
      <c r="E77" s="90"/>
      <c r="F77" s="90"/>
      <c r="G77" s="90"/>
      <c r="H77" s="90"/>
      <c r="I77" s="68">
        <f>AVERAGE(C74:C76)</f>
        <v>2527.7033333333334</v>
      </c>
      <c r="J77" s="37">
        <v>2406.9299999999998</v>
      </c>
      <c r="O77" t="s">
        <v>47</v>
      </c>
      <c r="Q77" t="s">
        <v>47</v>
      </c>
      <c r="R77" t="s">
        <v>53</v>
      </c>
      <c r="U77" s="13" t="s">
        <v>69</v>
      </c>
      <c r="V77" t="s">
        <v>10</v>
      </c>
      <c r="W77" s="13" t="s">
        <v>69</v>
      </c>
      <c r="X77" t="s">
        <v>10</v>
      </c>
      <c r="Y77" t="s">
        <v>10</v>
      </c>
    </row>
    <row r="78" spans="1:29" ht="15.75" customHeight="1" x14ac:dyDescent="0.25">
      <c r="A78" s="85">
        <v>1</v>
      </c>
      <c r="B78" s="85"/>
      <c r="C78" s="69">
        <v>2631.99</v>
      </c>
      <c r="D78" s="35">
        <f>D76</f>
        <v>568.99</v>
      </c>
      <c r="E78" s="29">
        <f ca="1">E76</f>
        <v>1.00393</v>
      </c>
      <c r="F78" s="57">
        <f ca="1">(C78-D78)*E78</f>
        <v>2071.1075900000001</v>
      </c>
      <c r="G78" s="91">
        <f ca="1">(F78+F79+F80)/3</f>
        <v>2071.1008971333335</v>
      </c>
      <c r="H78" s="92">
        <f ca="1">O88</f>
        <v>3.3190667123582005E-3</v>
      </c>
      <c r="I78" s="67">
        <f>C78-$I$81</f>
        <v>6.666666666205856E-3</v>
      </c>
      <c r="K78" s="10">
        <f ca="1">(F78-G78)^2</f>
        <v>4.4794464215898101E-5</v>
      </c>
      <c r="L78" s="72" t="s">
        <v>144</v>
      </c>
      <c r="M78">
        <f ca="1">SQRT(SUM(K78:K80)/2)/G78*100</f>
        <v>2.4397669520080318E-3</v>
      </c>
      <c r="N78" s="15">
        <f ca="1">M78/SQRT(3)</f>
        <v>1.4086001065017899E-3</v>
      </c>
      <c r="O78" s="8">
        <f>AVERAGE(C78:C80)*1000</f>
        <v>2631983.3333333335</v>
      </c>
      <c r="P78" s="15">
        <f>O80/(O78*SQRT(3))*100</f>
        <v>8.7743757626067905E-4</v>
      </c>
      <c r="Q78" s="16">
        <f>Q80*100/(O78*2*SQRT(3))</f>
        <v>1.0967969703258488E-4</v>
      </c>
      <c r="T78" s="8"/>
    </row>
    <row r="79" spans="1:29" ht="15.75" customHeight="1" x14ac:dyDescent="0.35">
      <c r="A79" s="85">
        <v>2</v>
      </c>
      <c r="B79" s="85"/>
      <c r="C79" s="69">
        <v>2632.03</v>
      </c>
      <c r="D79" s="35">
        <f>D78</f>
        <v>568.99</v>
      </c>
      <c r="E79" s="29">
        <f ca="1">E78</f>
        <v>1.00393</v>
      </c>
      <c r="F79" s="57">
        <f t="shared" ref="F79:F80" ca="1" si="1">(C79-D79)*E79</f>
        <v>2071.1477472000001</v>
      </c>
      <c r="G79" s="91"/>
      <c r="H79" s="93"/>
      <c r="I79" s="67">
        <f>C79-$I$81</f>
        <v>4.6666666666624224E-2</v>
      </c>
      <c r="K79" s="10">
        <f ca="1">(F79-G78)^2</f>
        <v>2.1949287466642266E-3</v>
      </c>
      <c r="L79" s="74"/>
      <c r="O79" s="13" t="s">
        <v>46</v>
      </c>
      <c r="Q79" t="s">
        <v>50</v>
      </c>
    </row>
    <row r="80" spans="1:29" ht="15.75" customHeight="1" x14ac:dyDescent="0.25">
      <c r="A80" s="85">
        <v>3</v>
      </c>
      <c r="B80" s="85"/>
      <c r="C80" s="69">
        <v>2631.93</v>
      </c>
      <c r="D80" s="35">
        <f>D79</f>
        <v>568.99</v>
      </c>
      <c r="E80" s="29">
        <f ca="1">E79</f>
        <v>1.00393</v>
      </c>
      <c r="F80" s="57">
        <f t="shared" ca="1" si="1"/>
        <v>2071.0473541999995</v>
      </c>
      <c r="G80" s="91"/>
      <c r="H80" s="94"/>
      <c r="I80" s="67">
        <f>C80-$I$81</f>
        <v>-5.3333333333739574E-2</v>
      </c>
      <c r="K80" s="10">
        <f ca="1">(F80-G78)^2</f>
        <v>2.8668457100122662E-3</v>
      </c>
      <c r="L80" s="74" t="s">
        <v>143</v>
      </c>
      <c r="O80">
        <f>O76</f>
        <v>40</v>
      </c>
      <c r="Q80">
        <f>Q76</f>
        <v>10</v>
      </c>
    </row>
    <row r="81" spans="1:16" ht="13.8" thickBot="1" x14ac:dyDescent="0.3">
      <c r="I81" s="68">
        <f>AVERAGE(C78:C80)</f>
        <v>2631.9833333333336</v>
      </c>
      <c r="J81" s="37">
        <v>2495.23</v>
      </c>
      <c r="L81" s="68">
        <f ca="1">G78-(2000+L79)</f>
        <v>71.100897133333547</v>
      </c>
      <c r="O81" t="s">
        <v>47</v>
      </c>
    </row>
    <row r="82" spans="1:16" x14ac:dyDescent="0.25">
      <c r="A82" t="s">
        <v>17</v>
      </c>
    </row>
    <row r="83" spans="1:16" x14ac:dyDescent="0.25">
      <c r="B83" s="61">
        <f ca="1">(G78-G74)/C94</f>
        <v>1.1632202266666707</v>
      </c>
      <c r="C83" s="15" t="s">
        <v>60</v>
      </c>
      <c r="D83" s="21"/>
      <c r="I83" s="70">
        <f ca="1">G78-G74</f>
        <v>104.68982040000037</v>
      </c>
      <c r="N83" t="s">
        <v>56</v>
      </c>
      <c r="O83" s="9">
        <f ca="1">SQRT(N74^2+P74^2)</f>
        <v>1.2828261899363754E-3</v>
      </c>
      <c r="P83" t="s">
        <v>94</v>
      </c>
    </row>
    <row r="84" spans="1:16" ht="15.6" x14ac:dyDescent="0.35">
      <c r="N84" t="s">
        <v>57</v>
      </c>
      <c r="O84" s="9">
        <f ca="1">O83*2</f>
        <v>2.5656523798727507E-3</v>
      </c>
    </row>
    <row r="85" spans="1:16" ht="15.6" x14ac:dyDescent="0.35">
      <c r="A85" t="s">
        <v>80</v>
      </c>
      <c r="F85" s="26" t="s">
        <v>91</v>
      </c>
      <c r="N85" t="s">
        <v>58</v>
      </c>
      <c r="O85" s="9">
        <f ca="1">O84/100*G74</f>
        <v>5.0451272588290151E-2</v>
      </c>
      <c r="P85" t="s">
        <v>60</v>
      </c>
    </row>
    <row r="86" spans="1:16" s="26" customFormat="1" x14ac:dyDescent="0.25">
      <c r="B86" s="4" t="s">
        <v>102</v>
      </c>
      <c r="C86" s="4" t="s">
        <v>93</v>
      </c>
      <c r="D86" s="4" t="s">
        <v>94</v>
      </c>
      <c r="E86" s="4" t="s">
        <v>95</v>
      </c>
      <c r="F86" s="4" t="s">
        <v>96</v>
      </c>
      <c r="G86" s="4" t="s">
        <v>97</v>
      </c>
      <c r="H86" s="4" t="s">
        <v>98</v>
      </c>
      <c r="I86" s="4" t="s">
        <v>99</v>
      </c>
      <c r="J86" s="4" t="s">
        <v>100</v>
      </c>
      <c r="K86" s="4" t="s">
        <v>101</v>
      </c>
      <c r="L86" s="4"/>
      <c r="O86" s="9"/>
    </row>
    <row r="87" spans="1:16" s="26" customFormat="1" x14ac:dyDescent="0.25">
      <c r="A87" s="87" t="s">
        <v>169</v>
      </c>
      <c r="B87" s="87"/>
      <c r="C87" s="84" t="s">
        <v>171</v>
      </c>
      <c r="D87" s="109">
        <v>2527.7199999999998</v>
      </c>
      <c r="E87" s="109">
        <v>2631.98</v>
      </c>
      <c r="F87" s="4">
        <v>568.99</v>
      </c>
      <c r="G87" s="4">
        <v>91</v>
      </c>
      <c r="H87" s="4">
        <v>24.7</v>
      </c>
      <c r="I87" s="4">
        <v>24.6</v>
      </c>
      <c r="J87" s="4">
        <v>41</v>
      </c>
      <c r="K87" s="4">
        <v>756</v>
      </c>
      <c r="L87" s="4">
        <f>ROUND(E66/20,0)*20</f>
        <v>760</v>
      </c>
      <c r="O87" s="9">
        <f ca="1">SQRT(N78^2+P78^2)</f>
        <v>1.6595333561791002E-3</v>
      </c>
      <c r="P87" s="26" t="s">
        <v>95</v>
      </c>
    </row>
    <row r="88" spans="1:16" s="26" customFormat="1" x14ac:dyDescent="0.25">
      <c r="B88" s="26" t="s">
        <v>83</v>
      </c>
      <c r="D88" s="26" t="s">
        <v>170</v>
      </c>
      <c r="H88" s="101" t="s">
        <v>166</v>
      </c>
      <c r="I88" s="101"/>
      <c r="J88" s="83" t="s">
        <v>168</v>
      </c>
      <c r="O88" s="9">
        <f ca="1">O87*2</f>
        <v>3.3190667123582005E-3</v>
      </c>
    </row>
    <row r="89" spans="1:16" s="26" customFormat="1" ht="13.8" thickBot="1" x14ac:dyDescent="0.3">
      <c r="B89" s="15" t="s">
        <v>103</v>
      </c>
      <c r="O89" s="9">
        <f ca="1">O88/100*G78</f>
        <v>6.8741220456104521E-2</v>
      </c>
    </row>
    <row r="90" spans="1:16" ht="16.5" customHeight="1" thickBot="1" x14ac:dyDescent="0.3">
      <c r="B90" s="65" t="str">
        <f>B97</f>
        <v>Ч.01.00008-24</v>
      </c>
      <c r="C90" s="63" t="str">
        <f>C87</f>
        <v>01.00008</v>
      </c>
      <c r="D90" s="63" t="str">
        <f t="shared" ref="D90:E90" ca="1" si="2">D97</f>
        <v>1,163</v>
      </c>
      <c r="E90" s="63" t="str">
        <f t="shared" ca="1" si="2"/>
        <v>0,003</v>
      </c>
      <c r="F90" s="63" t="str">
        <f>G97</f>
        <v>24,7</v>
      </c>
      <c r="G90" s="63">
        <f>J87</f>
        <v>41</v>
      </c>
      <c r="H90" s="64" t="str">
        <f>F97</f>
        <v>100,8</v>
      </c>
      <c r="I90" s="82" t="str">
        <f>A87</f>
        <v>03.12.2024</v>
      </c>
      <c r="K90" s="81">
        <f ca="1">I83</f>
        <v>104.68982040000037</v>
      </c>
    </row>
    <row r="91" spans="1:16" x14ac:dyDescent="0.25">
      <c r="B91" t="s">
        <v>84</v>
      </c>
      <c r="H91" s="83" t="s">
        <v>167</v>
      </c>
      <c r="J91" s="15" t="s">
        <v>135</v>
      </c>
    </row>
    <row r="92" spans="1:16" ht="15.6" x14ac:dyDescent="0.3">
      <c r="A92" s="5"/>
      <c r="C92" s="36">
        <f>G87</f>
        <v>91</v>
      </c>
      <c r="J92" s="27">
        <f>DATEVALUE(A87)</f>
        <v>45629</v>
      </c>
      <c r="K92" t="s">
        <v>134</v>
      </c>
    </row>
    <row r="93" spans="1:16" x14ac:dyDescent="0.25">
      <c r="B93" t="s">
        <v>85</v>
      </c>
      <c r="J93" s="27">
        <v>45866</v>
      </c>
      <c r="K93" t="s">
        <v>131</v>
      </c>
    </row>
    <row r="94" spans="1:16" x14ac:dyDescent="0.25">
      <c r="C94">
        <f>C92-1</f>
        <v>90</v>
      </c>
      <c r="J94" s="27">
        <v>45798</v>
      </c>
      <c r="K94" s="26" t="s">
        <v>132</v>
      </c>
    </row>
    <row r="95" spans="1:16" x14ac:dyDescent="0.25">
      <c r="E95" s="4" t="s">
        <v>137</v>
      </c>
      <c r="F95" t="s">
        <v>138</v>
      </c>
      <c r="G95" t="s">
        <v>98</v>
      </c>
      <c r="J95" s="27">
        <v>45790</v>
      </c>
      <c r="K95" s="26" t="s">
        <v>133</v>
      </c>
    </row>
    <row r="96" spans="1:16" x14ac:dyDescent="0.25">
      <c r="B96" s="4" t="str">
        <f>E49</f>
        <v>Ч.01.00008-24</v>
      </c>
      <c r="C96" t="str">
        <f>C87</f>
        <v>01.00008</v>
      </c>
      <c r="D96" s="22">
        <f ca="1">B83</f>
        <v>1.1632202266666707</v>
      </c>
      <c r="E96" s="22">
        <f ca="1">MAX(H78,H74)</f>
        <v>3.3190667123582005E-3</v>
      </c>
      <c r="F96" s="32">
        <f>E67</f>
        <v>100.79142822</v>
      </c>
      <c r="G96" s="4">
        <f>H87</f>
        <v>24.7</v>
      </c>
      <c r="H96" s="8"/>
      <c r="J96" s="55" t="s">
        <v>136</v>
      </c>
      <c r="K96" s="33"/>
      <c r="L96" s="33"/>
    </row>
    <row r="97" spans="2:12" x14ac:dyDescent="0.25">
      <c r="B97" t="str">
        <f>B96</f>
        <v>Ч.01.00008-24</v>
      </c>
      <c r="C97" s="28"/>
      <c r="D97" s="4" t="str">
        <f ca="1">TEXT(D96,"#0,000")</f>
        <v>1,163</v>
      </c>
      <c r="E97" s="4" t="str">
        <f ca="1">TEXT(E96,"#0,000")</f>
        <v>0,003</v>
      </c>
      <c r="F97" s="4" t="str">
        <f>TEXT(F96,"#0,0")</f>
        <v>100,8</v>
      </c>
      <c r="G97" s="4" t="str">
        <f>TEXT(G96,"#0,0")</f>
        <v>24,7</v>
      </c>
      <c r="H97" s="26"/>
      <c r="I97" s="25"/>
      <c r="J97" s="25"/>
      <c r="K97" s="25"/>
      <c r="L97" s="25"/>
    </row>
  </sheetData>
  <mergeCells count="42">
    <mergeCell ref="H88:I88"/>
    <mergeCell ref="A1:H1"/>
    <mergeCell ref="A3:H3"/>
    <mergeCell ref="A16:D16"/>
    <mergeCell ref="B26:D26"/>
    <mergeCell ref="B33:D33"/>
    <mergeCell ref="A13:H13"/>
    <mergeCell ref="A14:G14"/>
    <mergeCell ref="A15:H15"/>
    <mergeCell ref="A10:D10"/>
    <mergeCell ref="E10:H10"/>
    <mergeCell ref="E11:H11"/>
    <mergeCell ref="A12:F12"/>
    <mergeCell ref="G12:H12"/>
    <mergeCell ref="A11:D11"/>
    <mergeCell ref="A7:D7"/>
    <mergeCell ref="E7:H7"/>
    <mergeCell ref="A79:B79"/>
    <mergeCell ref="B36:C36"/>
    <mergeCell ref="B46:H46"/>
    <mergeCell ref="A24:H24"/>
    <mergeCell ref="A19:H19"/>
    <mergeCell ref="A20:H20"/>
    <mergeCell ref="A21:H21"/>
    <mergeCell ref="A22:H22"/>
    <mergeCell ref="A23:H23"/>
    <mergeCell ref="A80:B80"/>
    <mergeCell ref="A8:B8"/>
    <mergeCell ref="A9:C9"/>
    <mergeCell ref="A87:B87"/>
    <mergeCell ref="E55:H55"/>
    <mergeCell ref="A72:B72"/>
    <mergeCell ref="A73:H73"/>
    <mergeCell ref="A77:H77"/>
    <mergeCell ref="A74:B74"/>
    <mergeCell ref="A75:B75"/>
    <mergeCell ref="A76:B76"/>
    <mergeCell ref="G74:G76"/>
    <mergeCell ref="H74:H76"/>
    <mergeCell ref="G78:G80"/>
    <mergeCell ref="H78:H80"/>
    <mergeCell ref="A78:B78"/>
  </mergeCells>
  <conditionalFormatting sqref="J93">
    <cfRule type="cellIs" dxfId="1" priority="2" operator="lessThan">
      <formula>$J$92</formula>
    </cfRule>
  </conditionalFormatting>
  <conditionalFormatting sqref="J94:J95">
    <cfRule type="cellIs" dxfId="0" priority="1" operator="lessThan">
      <formula>$J$92</formula>
    </cfRule>
  </conditionalFormatting>
  <hyperlinks>
    <hyperlink ref="O58" r:id="rId1"/>
    <hyperlink ref="O59" r:id="rId2"/>
    <hyperlink ref="T59" r:id="rId3"/>
    <hyperlink ref="O60" r:id="rId4"/>
  </hyperlinks>
  <pageMargins left="0.78740157480314965" right="0.78740157480314965" top="1.0629921259842521" bottom="1.0629921259842521" header="0.78740157480314965" footer="0.78740157480314965"/>
  <pageSetup paperSize="9" scale="91" orientation="portrait" useFirstPageNumber="1" r:id="rId5"/>
  <rowBreaks count="1" manualBreakCount="1">
    <brk id="37" max="7" man="1"/>
  </rowBreaks>
  <drawing r:id="rId6"/>
  <legacyDrawing r:id="rId7"/>
  <controls>
    <mc:AlternateContent xmlns:mc="http://schemas.openxmlformats.org/markup-compatibility/2006">
      <mc:Choice Requires="x14">
        <control shapeId="3073" r:id="rId8" name="CommandButton1">
          <controlPr defaultSize="0" autoLine="0" r:id="rId9">
            <anchor moveWithCells="1">
              <from>
                <xdr:col>10</xdr:col>
                <xdr:colOff>7620</xdr:colOff>
                <xdr:row>87</xdr:row>
                <xdr:rowOff>45720</xdr:rowOff>
              </from>
              <to>
                <xdr:col>12</xdr:col>
                <xdr:colOff>243840</xdr:colOff>
                <xdr:row>89</xdr:row>
                <xdr:rowOff>7620</xdr:rowOff>
              </to>
            </anchor>
          </controlPr>
        </control>
      </mc:Choice>
      <mc:Fallback>
        <control shapeId="3073" r:id="rId8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9:H28"/>
  <sheetViews>
    <sheetView zoomScale="115" zoomScaleNormal="115" workbookViewId="0">
      <selection activeCell="D23" sqref="D23"/>
    </sheetView>
  </sheetViews>
  <sheetFormatPr defaultRowHeight="13.2" x14ac:dyDescent="0.25"/>
  <sheetData>
    <row r="9" spans="2:8" ht="18" x14ac:dyDescent="0.4">
      <c r="B9" s="5" t="s">
        <v>20</v>
      </c>
      <c r="C9" s="4" t="s">
        <v>19</v>
      </c>
      <c r="D9" s="4">
        <v>0</v>
      </c>
      <c r="E9" t="s">
        <v>24</v>
      </c>
    </row>
    <row r="10" spans="2:8" ht="15.6" x14ac:dyDescent="0.3">
      <c r="B10" s="5"/>
      <c r="C10" s="4"/>
      <c r="D10" s="6" t="s">
        <v>38</v>
      </c>
      <c r="H10" t="s">
        <v>43</v>
      </c>
    </row>
    <row r="11" spans="2:8" ht="15.6" x14ac:dyDescent="0.3">
      <c r="B11" s="5"/>
      <c r="C11" s="4"/>
      <c r="D11" s="6" t="s">
        <v>39</v>
      </c>
    </row>
    <row r="12" spans="2:8" ht="18" x14ac:dyDescent="0.4">
      <c r="B12" s="5" t="s">
        <v>21</v>
      </c>
      <c r="C12" s="4" t="s">
        <v>19</v>
      </c>
      <c r="D12" s="4">
        <v>0</v>
      </c>
      <c r="E12" t="s">
        <v>23</v>
      </c>
    </row>
    <row r="13" spans="2:8" ht="18" x14ac:dyDescent="0.4">
      <c r="B13" s="5"/>
      <c r="C13" s="4"/>
      <c r="D13" s="4"/>
      <c r="E13" s="12" t="s">
        <v>44</v>
      </c>
    </row>
    <row r="14" spans="2:8" ht="15.6" x14ac:dyDescent="0.3">
      <c r="B14" s="5"/>
      <c r="C14" s="4"/>
      <c r="D14" s="4"/>
      <c r="E14" s="13" t="s">
        <v>45</v>
      </c>
    </row>
    <row r="15" spans="2:8" ht="18" x14ac:dyDescent="0.4">
      <c r="B15" s="5" t="s">
        <v>22</v>
      </c>
      <c r="C15" s="4" t="s">
        <v>19</v>
      </c>
      <c r="D15" s="4">
        <v>0</v>
      </c>
      <c r="E15" t="s">
        <v>25</v>
      </c>
    </row>
    <row r="16" spans="2:8" ht="18" x14ac:dyDescent="0.4">
      <c r="B16" s="5"/>
      <c r="C16" s="4"/>
      <c r="D16" s="4"/>
      <c r="E16" s="12" t="s">
        <v>49</v>
      </c>
    </row>
    <row r="17" spans="2:5" ht="15.6" x14ac:dyDescent="0.3">
      <c r="B17" s="5"/>
      <c r="C17" s="4"/>
      <c r="D17" s="4"/>
    </row>
    <row r="18" spans="2:5" ht="15.6" x14ac:dyDescent="0.3">
      <c r="B18" s="5"/>
      <c r="C18" s="4"/>
      <c r="D18" s="4"/>
    </row>
    <row r="19" spans="2:5" ht="18" x14ac:dyDescent="0.4">
      <c r="B19" s="5" t="s">
        <v>26</v>
      </c>
      <c r="C19" s="4" t="s">
        <v>19</v>
      </c>
      <c r="D19" s="4">
        <v>0</v>
      </c>
      <c r="E19" t="s">
        <v>27</v>
      </c>
    </row>
    <row r="20" spans="2:5" ht="18" x14ac:dyDescent="0.4">
      <c r="B20" s="5" t="s">
        <v>28</v>
      </c>
      <c r="C20" s="4" t="s">
        <v>19</v>
      </c>
      <c r="D20" s="4">
        <v>0</v>
      </c>
      <c r="E20" t="s">
        <v>29</v>
      </c>
    </row>
    <row r="21" spans="2:5" ht="18" x14ac:dyDescent="0.4">
      <c r="B21" s="5" t="s">
        <v>30</v>
      </c>
      <c r="C21" s="4" t="s">
        <v>19</v>
      </c>
      <c r="D21" s="4">
        <v>0</v>
      </c>
      <c r="E21" t="s">
        <v>31</v>
      </c>
    </row>
    <row r="22" spans="2:5" ht="18" x14ac:dyDescent="0.4">
      <c r="B22" s="5" t="s">
        <v>32</v>
      </c>
      <c r="C22" s="4" t="s">
        <v>19</v>
      </c>
      <c r="D22" s="4">
        <v>0</v>
      </c>
      <c r="E22" t="s">
        <v>33</v>
      </c>
    </row>
    <row r="23" spans="2:5" ht="18" x14ac:dyDescent="0.4">
      <c r="B23" s="5" t="s">
        <v>34</v>
      </c>
      <c r="C23" s="4" t="s">
        <v>19</v>
      </c>
      <c r="D23" s="4">
        <v>0</v>
      </c>
      <c r="E23" t="s">
        <v>35</v>
      </c>
    </row>
    <row r="24" spans="2:5" ht="18" x14ac:dyDescent="0.4">
      <c r="B24" s="5" t="s">
        <v>36</v>
      </c>
      <c r="C24" s="4" t="s">
        <v>19</v>
      </c>
      <c r="D24" s="4">
        <v>0</v>
      </c>
      <c r="E24" t="s">
        <v>37</v>
      </c>
    </row>
    <row r="25" spans="2:5" ht="15" x14ac:dyDescent="0.25">
      <c r="B25" s="3"/>
    </row>
    <row r="26" spans="2:5" ht="15" x14ac:dyDescent="0.25">
      <c r="B26" s="3"/>
    </row>
    <row r="27" spans="2:5" ht="15" x14ac:dyDescent="0.25">
      <c r="B27" s="3"/>
    </row>
    <row r="28" spans="2:5" ht="15" x14ac:dyDescent="0.25">
      <c r="B28" s="3"/>
    </row>
  </sheetData>
  <pageMargins left="0.7" right="0.7" top="0.75" bottom="0.75" header="0.3" footer="0.3"/>
  <pageSetup paperSize="9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1:W44"/>
  <sheetViews>
    <sheetView topLeftCell="A8" workbookViewId="0">
      <selection activeCell="C12" sqref="C12"/>
    </sheetView>
  </sheetViews>
  <sheetFormatPr defaultRowHeight="13.2" x14ac:dyDescent="0.25"/>
  <cols>
    <col min="6" max="6" width="4.6640625" customWidth="1"/>
    <col min="9" max="9" width="4.109375" customWidth="1"/>
    <col min="12" max="12" width="3.109375" customWidth="1"/>
    <col min="15" max="15" width="3.5546875" customWidth="1"/>
    <col min="18" max="18" width="4" customWidth="1"/>
    <col min="21" max="21" width="5.6640625" customWidth="1"/>
  </cols>
  <sheetData>
    <row r="11" spans="1:23" x14ac:dyDescent="0.25">
      <c r="A11">
        <v>800</v>
      </c>
      <c r="C11">
        <v>15</v>
      </c>
    </row>
    <row r="12" spans="1:23" x14ac:dyDescent="0.25">
      <c r="A12" t="str">
        <f>VLOOKUP(A11,$B$15:$C$26,2,1)</f>
        <v>P31:Q44</v>
      </c>
      <c r="C12">
        <f ca="1">VLOOKUP($C$11,INDIRECT(A12),2,1)</f>
        <v>1.0021199999999999</v>
      </c>
    </row>
    <row r="13" spans="1:23" ht="13.8" thickBot="1" x14ac:dyDescent="0.3"/>
    <row r="14" spans="1:23" x14ac:dyDescent="0.25">
      <c r="D14" s="75">
        <v>580</v>
      </c>
      <c r="E14" s="76"/>
      <c r="G14" s="75">
        <v>600</v>
      </c>
      <c r="H14" s="76"/>
      <c r="J14" s="75">
        <v>620</v>
      </c>
      <c r="K14" s="76"/>
      <c r="M14" s="75">
        <v>640</v>
      </c>
      <c r="N14" s="76"/>
      <c r="P14" s="75">
        <v>660</v>
      </c>
      <c r="Q14" s="76"/>
      <c r="S14" s="75">
        <v>680</v>
      </c>
      <c r="T14" s="76"/>
      <c r="V14" s="75">
        <v>700</v>
      </c>
      <c r="W14" s="76"/>
    </row>
    <row r="15" spans="1:23" x14ac:dyDescent="0.25">
      <c r="B15">
        <v>580</v>
      </c>
      <c r="C15" t="s">
        <v>145</v>
      </c>
      <c r="D15" s="77">
        <v>15</v>
      </c>
      <c r="E15" s="79">
        <v>1.0018199999999999</v>
      </c>
      <c r="G15" s="77">
        <v>15</v>
      </c>
      <c r="H15" s="79">
        <v>1.0018400000000001</v>
      </c>
      <c r="J15" s="77">
        <v>15</v>
      </c>
      <c r="K15" s="79">
        <v>1.00186</v>
      </c>
      <c r="M15" s="77">
        <v>15</v>
      </c>
      <c r="N15" s="79">
        <v>1.0019</v>
      </c>
      <c r="P15" s="77">
        <v>15</v>
      </c>
      <c r="Q15" s="79">
        <v>1.0019199999999999</v>
      </c>
      <c r="S15" s="77">
        <v>15</v>
      </c>
      <c r="T15" s="79">
        <v>1.0019499999999999</v>
      </c>
      <c r="V15" s="77">
        <v>15</v>
      </c>
      <c r="W15" s="79">
        <v>1.0019800000000001</v>
      </c>
    </row>
    <row r="16" spans="1:23" x14ac:dyDescent="0.25">
      <c r="B16">
        <v>600</v>
      </c>
      <c r="C16" s="26" t="s">
        <v>146</v>
      </c>
      <c r="D16" s="77">
        <v>16</v>
      </c>
      <c r="E16" s="79">
        <v>1.0019499999999999</v>
      </c>
      <c r="G16" s="77">
        <v>16</v>
      </c>
      <c r="H16" s="79">
        <v>1.0019800000000001</v>
      </c>
      <c r="J16" s="77">
        <v>16</v>
      </c>
      <c r="K16" s="79">
        <v>1.0020100000000001</v>
      </c>
      <c r="M16" s="77">
        <v>16</v>
      </c>
      <c r="N16" s="79">
        <v>1.00203</v>
      </c>
      <c r="P16" s="77">
        <v>16</v>
      </c>
      <c r="Q16" s="79">
        <v>1.00206</v>
      </c>
      <c r="S16" s="77">
        <v>16</v>
      </c>
      <c r="T16" s="79">
        <v>1.0020899999999999</v>
      </c>
      <c r="V16" s="77">
        <v>16</v>
      </c>
      <c r="W16" s="79">
        <v>1.0021100000000001</v>
      </c>
    </row>
    <row r="17" spans="2:23" x14ac:dyDescent="0.25">
      <c r="B17">
        <v>620</v>
      </c>
      <c r="C17" s="26" t="s">
        <v>147</v>
      </c>
      <c r="D17" s="77">
        <v>17</v>
      </c>
      <c r="E17" s="79">
        <v>1.0021</v>
      </c>
      <c r="G17" s="77">
        <v>17</v>
      </c>
      <c r="H17" s="79">
        <v>1.0021199999999999</v>
      </c>
      <c r="J17" s="77">
        <v>17</v>
      </c>
      <c r="K17" s="79">
        <v>1.0021500000000001</v>
      </c>
      <c r="M17" s="77">
        <v>17</v>
      </c>
      <c r="N17" s="79">
        <v>1.0021800000000001</v>
      </c>
      <c r="P17" s="77">
        <v>17</v>
      </c>
      <c r="Q17" s="79">
        <v>1.00221</v>
      </c>
      <c r="S17" s="77">
        <v>17</v>
      </c>
      <c r="T17" s="79">
        <v>1.00224</v>
      </c>
      <c r="V17" s="77">
        <v>17</v>
      </c>
      <c r="W17" s="79">
        <v>1.0022599999999999</v>
      </c>
    </row>
    <row r="18" spans="2:23" x14ac:dyDescent="0.25">
      <c r="B18" s="26">
        <v>640</v>
      </c>
      <c r="C18" s="26" t="s">
        <v>148</v>
      </c>
      <c r="D18" s="77">
        <v>18</v>
      </c>
      <c r="E18" s="79">
        <v>1.0022599999999999</v>
      </c>
      <c r="G18" s="77">
        <v>18</v>
      </c>
      <c r="H18" s="79">
        <v>1.0022899999999999</v>
      </c>
      <c r="J18" s="77">
        <v>18</v>
      </c>
      <c r="K18" s="79">
        <v>1.0023200000000001</v>
      </c>
      <c r="M18" s="77">
        <v>18</v>
      </c>
      <c r="N18" s="79">
        <v>1.00234</v>
      </c>
      <c r="P18" s="77">
        <v>18</v>
      </c>
      <c r="Q18" s="79">
        <v>1.00237</v>
      </c>
      <c r="S18" s="77">
        <v>18</v>
      </c>
      <c r="T18" s="79">
        <v>1.0024</v>
      </c>
      <c r="V18" s="77">
        <v>18</v>
      </c>
      <c r="W18" s="79">
        <v>1.0024299999999999</v>
      </c>
    </row>
    <row r="19" spans="2:23" x14ac:dyDescent="0.25">
      <c r="B19" s="26">
        <v>660</v>
      </c>
      <c r="C19" s="26" t="s">
        <v>149</v>
      </c>
      <c r="D19" s="77">
        <v>19</v>
      </c>
      <c r="E19" s="79">
        <v>1.0024299999999999</v>
      </c>
      <c r="G19" s="77">
        <v>19</v>
      </c>
      <c r="H19" s="79">
        <v>1.0024599999999999</v>
      </c>
      <c r="J19" s="77">
        <v>19</v>
      </c>
      <c r="K19" s="79">
        <v>1.0024900000000001</v>
      </c>
      <c r="M19" s="77">
        <v>19</v>
      </c>
      <c r="N19" s="79">
        <v>1.00251</v>
      </c>
      <c r="P19" s="77">
        <v>19</v>
      </c>
      <c r="Q19" s="79">
        <v>1.00254</v>
      </c>
      <c r="S19" s="77">
        <v>19</v>
      </c>
      <c r="T19" s="79">
        <v>1.00257</v>
      </c>
      <c r="V19" s="77">
        <v>19</v>
      </c>
      <c r="W19" s="79">
        <v>1.0025900000000001</v>
      </c>
    </row>
    <row r="20" spans="2:23" x14ac:dyDescent="0.25">
      <c r="B20" s="26">
        <v>680</v>
      </c>
      <c r="C20" s="26" t="s">
        <v>150</v>
      </c>
      <c r="D20" s="77">
        <v>20</v>
      </c>
      <c r="E20" s="79">
        <v>1.0026200000000001</v>
      </c>
      <c r="G20" s="77">
        <v>20</v>
      </c>
      <c r="H20" s="79">
        <v>1.00265</v>
      </c>
      <c r="J20" s="77">
        <v>20</v>
      </c>
      <c r="K20" s="79">
        <v>1.00267</v>
      </c>
      <c r="M20" s="77">
        <v>20</v>
      </c>
      <c r="N20" s="79">
        <v>1.0072000000000001</v>
      </c>
      <c r="P20" s="77">
        <v>20</v>
      </c>
      <c r="Q20" s="79">
        <v>1.0027200000000001</v>
      </c>
      <c r="S20" s="77">
        <v>20</v>
      </c>
      <c r="T20" s="79">
        <v>1.00275</v>
      </c>
      <c r="V20" s="77">
        <v>20</v>
      </c>
      <c r="W20" s="79">
        <v>1.00278</v>
      </c>
    </row>
    <row r="21" spans="2:23" x14ac:dyDescent="0.25">
      <c r="B21" s="26">
        <v>700</v>
      </c>
      <c r="C21" s="26" t="s">
        <v>151</v>
      </c>
      <c r="D21" s="77">
        <v>21</v>
      </c>
      <c r="E21" s="79">
        <v>1.00281</v>
      </c>
      <c r="G21" s="77">
        <v>21</v>
      </c>
      <c r="H21" s="79">
        <v>1.00284</v>
      </c>
      <c r="J21" s="77">
        <v>21</v>
      </c>
      <c r="K21" s="79">
        <v>1.0028699999999999</v>
      </c>
      <c r="M21" s="77">
        <v>21</v>
      </c>
      <c r="N21" s="79">
        <v>1.0028900000000001</v>
      </c>
      <c r="P21" s="77">
        <v>21</v>
      </c>
      <c r="Q21" s="79">
        <v>1.00292</v>
      </c>
      <c r="S21" s="77">
        <v>21</v>
      </c>
      <c r="T21" s="79">
        <v>1.00295</v>
      </c>
      <c r="V21" s="77">
        <v>21</v>
      </c>
      <c r="W21" s="79">
        <v>1.00298</v>
      </c>
    </row>
    <row r="22" spans="2:23" x14ac:dyDescent="0.25">
      <c r="B22" s="26">
        <v>720</v>
      </c>
      <c r="C22" s="26" t="s">
        <v>152</v>
      </c>
      <c r="D22" s="77">
        <v>22</v>
      </c>
      <c r="E22" s="79">
        <v>1.00302</v>
      </c>
      <c r="G22" s="77">
        <v>22</v>
      </c>
      <c r="H22" s="79">
        <v>1.0030399999999999</v>
      </c>
      <c r="J22" s="77">
        <v>22</v>
      </c>
      <c r="K22" s="79">
        <v>1.0030699999999999</v>
      </c>
      <c r="M22" s="77">
        <v>22</v>
      </c>
      <c r="N22" s="79">
        <v>1.0031000000000001</v>
      </c>
      <c r="P22" s="77">
        <v>22</v>
      </c>
      <c r="Q22" s="79">
        <v>1.00312</v>
      </c>
      <c r="S22" s="77">
        <v>22</v>
      </c>
      <c r="T22" s="79">
        <v>1.0031600000000001</v>
      </c>
      <c r="V22" s="77">
        <v>22</v>
      </c>
      <c r="W22" s="79">
        <v>1.00318</v>
      </c>
    </row>
    <row r="23" spans="2:23" x14ac:dyDescent="0.25">
      <c r="B23" s="26">
        <v>740</v>
      </c>
      <c r="C23" s="26" t="s">
        <v>153</v>
      </c>
      <c r="D23" s="77">
        <v>23</v>
      </c>
      <c r="E23" s="79">
        <v>1.0032300000000001</v>
      </c>
      <c r="G23" s="77">
        <v>23</v>
      </c>
      <c r="H23" s="79">
        <v>1.00326</v>
      </c>
      <c r="J23" s="77">
        <v>23</v>
      </c>
      <c r="K23" s="79">
        <v>1.0032799999999999</v>
      </c>
      <c r="M23" s="77">
        <v>23</v>
      </c>
      <c r="N23" s="79">
        <v>1.0033099999999999</v>
      </c>
      <c r="P23" s="77">
        <v>23</v>
      </c>
      <c r="Q23" s="79">
        <v>1.0033399999999999</v>
      </c>
      <c r="S23" s="77">
        <v>23</v>
      </c>
      <c r="T23" s="79">
        <v>1.0033700000000001</v>
      </c>
      <c r="V23" s="77">
        <v>23</v>
      </c>
      <c r="W23" s="79">
        <v>1.0034000000000001</v>
      </c>
    </row>
    <row r="24" spans="2:23" x14ac:dyDescent="0.25">
      <c r="B24" s="26">
        <v>760</v>
      </c>
      <c r="C24" s="26" t="s">
        <v>154</v>
      </c>
      <c r="D24" s="77">
        <v>24</v>
      </c>
      <c r="E24" s="79">
        <v>1.00346</v>
      </c>
      <c r="G24" s="77">
        <v>24</v>
      </c>
      <c r="H24" s="79">
        <v>1.0034799999999999</v>
      </c>
      <c r="J24" s="77">
        <v>24</v>
      </c>
      <c r="K24" s="79">
        <v>1.0035099999999999</v>
      </c>
      <c r="M24" s="77">
        <v>24</v>
      </c>
      <c r="N24" s="79">
        <v>1.0035400000000001</v>
      </c>
      <c r="P24" s="77">
        <v>24</v>
      </c>
      <c r="Q24" s="79">
        <v>1.0035700000000001</v>
      </c>
      <c r="S24" s="77">
        <v>24</v>
      </c>
      <c r="T24" s="79">
        <v>1.00359</v>
      </c>
      <c r="V24" s="77">
        <v>24</v>
      </c>
      <c r="W24" s="79">
        <v>1.00362</v>
      </c>
    </row>
    <row r="25" spans="2:23" x14ac:dyDescent="0.25">
      <c r="B25" s="26">
        <v>780</v>
      </c>
      <c r="C25" s="26" t="s">
        <v>155</v>
      </c>
      <c r="D25" s="77">
        <v>25</v>
      </c>
      <c r="E25" s="79">
        <v>1.0037</v>
      </c>
      <c r="G25" s="77">
        <v>25</v>
      </c>
      <c r="H25" s="79">
        <v>1.0037199999999999</v>
      </c>
      <c r="J25" s="77">
        <v>25</v>
      </c>
      <c r="K25" s="79">
        <v>1.0037499999999999</v>
      </c>
      <c r="M25" s="77">
        <v>25</v>
      </c>
      <c r="N25" s="79">
        <v>1.0037799999999999</v>
      </c>
      <c r="P25" s="77">
        <v>25</v>
      </c>
      <c r="Q25" s="79">
        <v>1.0038</v>
      </c>
      <c r="S25" s="77">
        <v>25</v>
      </c>
      <c r="T25" s="79">
        <v>1.00383</v>
      </c>
      <c r="V25" s="77">
        <v>25</v>
      </c>
      <c r="W25" s="79">
        <v>1.00386</v>
      </c>
    </row>
    <row r="26" spans="2:23" x14ac:dyDescent="0.25">
      <c r="B26" s="26">
        <v>800</v>
      </c>
      <c r="C26" s="26" t="s">
        <v>156</v>
      </c>
      <c r="D26" s="77">
        <v>26</v>
      </c>
      <c r="E26" s="79">
        <v>1.0039400000000001</v>
      </c>
      <c r="G26" s="77">
        <v>26</v>
      </c>
      <c r="H26" s="79">
        <v>1.00397</v>
      </c>
      <c r="J26" s="77">
        <v>26</v>
      </c>
      <c r="K26" s="79">
        <v>1.0039899999999999</v>
      </c>
      <c r="M26" s="77">
        <v>26</v>
      </c>
      <c r="N26" s="79">
        <v>1.0040199999999999</v>
      </c>
      <c r="P26" s="77">
        <v>26</v>
      </c>
      <c r="Q26" s="79">
        <v>1.0040500000000001</v>
      </c>
      <c r="S26" s="77">
        <v>26</v>
      </c>
      <c r="T26" s="79">
        <v>1.00407</v>
      </c>
      <c r="V26" s="77">
        <v>26</v>
      </c>
      <c r="W26" s="79">
        <v>1.0041</v>
      </c>
    </row>
    <row r="27" spans="2:23" x14ac:dyDescent="0.25">
      <c r="B27" s="26"/>
      <c r="D27" s="77">
        <v>27</v>
      </c>
      <c r="E27" s="79">
        <v>1.0042</v>
      </c>
      <c r="G27" s="77">
        <v>27</v>
      </c>
      <c r="H27" s="79">
        <v>1.0042199999999999</v>
      </c>
      <c r="J27" s="77">
        <v>27</v>
      </c>
      <c r="K27" s="79">
        <v>1.0042500000000001</v>
      </c>
      <c r="M27" s="77">
        <v>27</v>
      </c>
      <c r="N27" s="79">
        <v>1.00427</v>
      </c>
      <c r="P27" s="77">
        <v>27</v>
      </c>
      <c r="Q27" s="79">
        <v>1.0043</v>
      </c>
      <c r="S27" s="77">
        <v>27</v>
      </c>
      <c r="T27" s="79">
        <v>1.0043299999999999</v>
      </c>
      <c r="V27" s="77">
        <v>27</v>
      </c>
      <c r="W27" s="79">
        <v>1.0043500000000001</v>
      </c>
    </row>
    <row r="28" spans="2:23" ht="13.8" thickBot="1" x14ac:dyDescent="0.3">
      <c r="B28" s="26"/>
      <c r="D28" s="78">
        <v>28</v>
      </c>
      <c r="E28" s="80">
        <v>1.00447</v>
      </c>
      <c r="G28" s="78">
        <v>28</v>
      </c>
      <c r="H28" s="80">
        <v>1.00448</v>
      </c>
      <c r="J28" s="78">
        <v>28</v>
      </c>
      <c r="K28" s="80">
        <v>1.00451</v>
      </c>
      <c r="M28" s="78">
        <v>28</v>
      </c>
      <c r="N28" s="80">
        <v>1.00454</v>
      </c>
      <c r="P28" s="78">
        <v>28</v>
      </c>
      <c r="Q28" s="80">
        <v>1.0045599999999999</v>
      </c>
      <c r="S28" s="78">
        <v>28</v>
      </c>
      <c r="T28" s="80">
        <v>1.0045900000000001</v>
      </c>
      <c r="V28" s="78">
        <v>28</v>
      </c>
      <c r="W28" s="80">
        <v>1.00461</v>
      </c>
    </row>
    <row r="29" spans="2:23" ht="13.8" thickBot="1" x14ac:dyDescent="0.3">
      <c r="B29" s="26"/>
    </row>
    <row r="30" spans="2:23" x14ac:dyDescent="0.25">
      <c r="B30" s="26"/>
      <c r="D30" s="75">
        <v>720</v>
      </c>
      <c r="E30" s="76"/>
      <c r="F30" s="26"/>
      <c r="G30" s="75">
        <v>740</v>
      </c>
      <c r="H30" s="76"/>
      <c r="I30" s="26"/>
      <c r="J30" s="75">
        <v>760</v>
      </c>
      <c r="K30" s="76"/>
      <c r="L30" s="26"/>
      <c r="M30" s="75">
        <v>780</v>
      </c>
      <c r="N30" s="76"/>
      <c r="O30" s="26"/>
      <c r="P30" s="75"/>
      <c r="Q30" s="76">
        <v>800</v>
      </c>
    </row>
    <row r="31" spans="2:23" x14ac:dyDescent="0.25">
      <c r="B31" s="26"/>
      <c r="D31" s="77">
        <v>15</v>
      </c>
      <c r="E31" s="79">
        <v>1.002</v>
      </c>
      <c r="F31" s="26"/>
      <c r="G31" s="77">
        <v>15</v>
      </c>
      <c r="H31" s="79">
        <v>1.00204</v>
      </c>
      <c r="I31" s="26"/>
      <c r="J31" s="77">
        <v>15</v>
      </c>
      <c r="K31" s="79">
        <v>1.00206</v>
      </c>
      <c r="L31" s="26"/>
      <c r="M31" s="77">
        <v>15</v>
      </c>
      <c r="N31" s="79">
        <v>1.0020899999999999</v>
      </c>
      <c r="O31" s="26"/>
      <c r="P31" s="77">
        <v>15</v>
      </c>
      <c r="Q31" s="79">
        <v>1.0021199999999999</v>
      </c>
      <c r="S31" s="21"/>
    </row>
    <row r="32" spans="2:23" x14ac:dyDescent="0.25">
      <c r="B32" s="26"/>
      <c r="D32" s="77">
        <v>16</v>
      </c>
      <c r="E32" s="79">
        <v>1.0021500000000001</v>
      </c>
      <c r="F32" s="26"/>
      <c r="G32" s="77">
        <v>16</v>
      </c>
      <c r="H32" s="79">
        <v>1.00217</v>
      </c>
      <c r="I32" s="26"/>
      <c r="J32" s="77">
        <v>16</v>
      </c>
      <c r="K32" s="79">
        <v>1.0022</v>
      </c>
      <c r="L32" s="26"/>
      <c r="M32" s="77">
        <v>16</v>
      </c>
      <c r="N32" s="79">
        <v>1.00223</v>
      </c>
      <c r="O32" s="26"/>
      <c r="P32" s="77">
        <v>16</v>
      </c>
      <c r="Q32" s="79">
        <v>1.0022599999999999</v>
      </c>
      <c r="S32" s="21"/>
    </row>
    <row r="33" spans="2:19" x14ac:dyDescent="0.25">
      <c r="B33" s="26"/>
      <c r="D33" s="77">
        <v>17</v>
      </c>
      <c r="E33" s="79">
        <v>1.0022899999999999</v>
      </c>
      <c r="F33" s="26"/>
      <c r="G33" s="77">
        <v>17</v>
      </c>
      <c r="H33" s="79">
        <v>1.0023200000000001</v>
      </c>
      <c r="I33" s="26"/>
      <c r="J33" s="77">
        <v>17</v>
      </c>
      <c r="K33" s="79">
        <v>1.0023500000000001</v>
      </c>
      <c r="L33" s="26"/>
      <c r="M33" s="77">
        <v>17</v>
      </c>
      <c r="N33" s="79">
        <v>1.00238</v>
      </c>
      <c r="O33" s="26"/>
      <c r="P33" s="77">
        <v>17</v>
      </c>
      <c r="Q33" s="79">
        <v>1.0024</v>
      </c>
      <c r="S33" s="21"/>
    </row>
    <row r="34" spans="2:19" x14ac:dyDescent="0.25">
      <c r="D34" s="77">
        <v>18</v>
      </c>
      <c r="E34" s="79">
        <v>1.0024599999999999</v>
      </c>
      <c r="F34" s="26"/>
      <c r="G34" s="77">
        <v>18</v>
      </c>
      <c r="H34" s="79">
        <v>1.00248</v>
      </c>
      <c r="I34" s="26"/>
      <c r="J34" s="77">
        <v>18</v>
      </c>
      <c r="K34" s="79">
        <v>1.00251</v>
      </c>
      <c r="L34" s="26"/>
      <c r="M34" s="77">
        <v>18</v>
      </c>
      <c r="N34" s="79">
        <v>1.00254</v>
      </c>
      <c r="O34" s="26"/>
      <c r="P34" s="77">
        <v>18</v>
      </c>
      <c r="Q34" s="79">
        <v>1.00257</v>
      </c>
      <c r="S34" s="21"/>
    </row>
    <row r="35" spans="2:19" x14ac:dyDescent="0.25">
      <c r="D35" s="77">
        <v>19</v>
      </c>
      <c r="E35" s="79">
        <v>1.0026200000000001</v>
      </c>
      <c r="F35" s="26"/>
      <c r="G35" s="77">
        <v>19</v>
      </c>
      <c r="H35" s="79">
        <v>1.0026600000000001</v>
      </c>
      <c r="I35" s="26"/>
      <c r="J35" s="77">
        <v>19</v>
      </c>
      <c r="K35" s="79">
        <v>1.00268</v>
      </c>
      <c r="L35" s="26"/>
      <c r="M35" s="77">
        <v>19</v>
      </c>
      <c r="N35" s="79">
        <v>1.00271</v>
      </c>
      <c r="O35" s="26"/>
      <c r="P35" s="77">
        <v>19</v>
      </c>
      <c r="Q35" s="79">
        <v>1.0027299999999999</v>
      </c>
      <c r="S35" s="21"/>
    </row>
    <row r="36" spans="2:19" x14ac:dyDescent="0.25">
      <c r="D36" s="77">
        <v>20</v>
      </c>
      <c r="E36" s="79">
        <v>1.00281</v>
      </c>
      <c r="F36" s="26"/>
      <c r="G36" s="77">
        <v>20</v>
      </c>
      <c r="H36" s="79">
        <v>1.00284</v>
      </c>
      <c r="I36" s="26"/>
      <c r="J36" s="77">
        <v>20</v>
      </c>
      <c r="K36" s="79">
        <v>1.0028600000000001</v>
      </c>
      <c r="L36" s="26"/>
      <c r="M36" s="77">
        <v>20</v>
      </c>
      <c r="N36" s="79">
        <v>1.0028900000000001</v>
      </c>
      <c r="O36" s="26"/>
      <c r="P36" s="77">
        <v>20</v>
      </c>
      <c r="Q36" s="79">
        <v>1.00292</v>
      </c>
      <c r="S36" s="21"/>
    </row>
    <row r="37" spans="2:19" x14ac:dyDescent="0.25">
      <c r="D37" s="77">
        <v>21</v>
      </c>
      <c r="E37" s="79">
        <v>1.00301</v>
      </c>
      <c r="F37" s="26"/>
      <c r="G37" s="77">
        <v>21</v>
      </c>
      <c r="H37" s="79">
        <v>1.0030300000000001</v>
      </c>
      <c r="I37" s="26"/>
      <c r="J37" s="77">
        <v>21</v>
      </c>
      <c r="K37" s="79">
        <v>1.0030600000000001</v>
      </c>
      <c r="L37" s="26"/>
      <c r="M37" s="77">
        <v>21</v>
      </c>
      <c r="N37" s="79">
        <v>1.00309</v>
      </c>
      <c r="O37" s="26"/>
      <c r="P37" s="77">
        <v>21</v>
      </c>
      <c r="Q37" s="79">
        <v>1.0031099999999999</v>
      </c>
      <c r="S37" s="21"/>
    </row>
    <row r="38" spans="2:19" x14ac:dyDescent="0.25">
      <c r="D38" s="77">
        <v>22</v>
      </c>
      <c r="E38" s="79">
        <v>1.0032099999999999</v>
      </c>
      <c r="F38" s="26"/>
      <c r="G38" s="77">
        <v>22</v>
      </c>
      <c r="H38" s="79">
        <v>1.0032399999999999</v>
      </c>
      <c r="I38" s="26"/>
      <c r="J38" s="77">
        <v>22</v>
      </c>
      <c r="K38" s="79">
        <v>1.00326</v>
      </c>
      <c r="L38" s="26"/>
      <c r="M38" s="77">
        <v>22</v>
      </c>
      <c r="N38" s="79">
        <v>1.00329</v>
      </c>
      <c r="O38" s="26"/>
      <c r="P38" s="77">
        <v>22</v>
      </c>
      <c r="Q38" s="79">
        <v>1.0033099999999999</v>
      </c>
      <c r="S38" s="21"/>
    </row>
    <row r="39" spans="2:19" x14ac:dyDescent="0.25">
      <c r="D39" s="77">
        <v>23</v>
      </c>
      <c r="E39" s="79">
        <v>1.00342</v>
      </c>
      <c r="F39" s="26"/>
      <c r="G39" s="77">
        <v>23</v>
      </c>
      <c r="H39" s="79">
        <v>1.00345</v>
      </c>
      <c r="I39" s="26"/>
      <c r="J39" s="77">
        <v>23</v>
      </c>
      <c r="K39" s="79">
        <v>1.0034799999999999</v>
      </c>
      <c r="L39" s="26"/>
      <c r="M39" s="77">
        <v>23</v>
      </c>
      <c r="N39" s="79">
        <v>1.0035000000000001</v>
      </c>
      <c r="O39" s="26"/>
      <c r="P39" s="77">
        <v>23</v>
      </c>
      <c r="Q39" s="79">
        <v>1.00353</v>
      </c>
      <c r="S39" s="21"/>
    </row>
    <row r="40" spans="2:19" x14ac:dyDescent="0.25">
      <c r="D40" s="77">
        <v>24</v>
      </c>
      <c r="E40" s="79">
        <v>1.0036499999999999</v>
      </c>
      <c r="F40" s="26"/>
      <c r="G40" s="77">
        <v>24</v>
      </c>
      <c r="H40" s="79">
        <v>1.0036700000000001</v>
      </c>
      <c r="I40" s="26"/>
      <c r="J40" s="77">
        <v>24</v>
      </c>
      <c r="K40" s="79">
        <v>1.0037</v>
      </c>
      <c r="L40" s="26"/>
      <c r="M40" s="77">
        <v>24</v>
      </c>
      <c r="N40" s="79">
        <v>1.00373</v>
      </c>
      <c r="O40" s="26"/>
      <c r="P40" s="77">
        <v>24</v>
      </c>
      <c r="Q40" s="79">
        <v>1.0037499999999999</v>
      </c>
      <c r="S40" s="21"/>
    </row>
    <row r="41" spans="2:19" x14ac:dyDescent="0.25">
      <c r="D41" s="77">
        <v>25</v>
      </c>
      <c r="E41" s="79">
        <v>1.0038899999999999</v>
      </c>
      <c r="F41" s="26"/>
      <c r="G41" s="77">
        <v>25</v>
      </c>
      <c r="H41" s="79">
        <v>1.0039100000000001</v>
      </c>
      <c r="I41" s="26"/>
      <c r="J41" s="77">
        <v>25</v>
      </c>
      <c r="K41" s="79">
        <v>1.00393</v>
      </c>
      <c r="L41" s="26"/>
      <c r="M41" s="77">
        <v>25</v>
      </c>
      <c r="N41" s="79">
        <v>1.00397</v>
      </c>
      <c r="O41" s="26"/>
      <c r="P41" s="77">
        <v>25</v>
      </c>
      <c r="Q41" s="79">
        <v>1.0039899999999999</v>
      </c>
      <c r="S41" s="21"/>
    </row>
    <row r="42" spans="2:19" x14ac:dyDescent="0.25">
      <c r="D42" s="77">
        <v>26</v>
      </c>
      <c r="E42" s="79">
        <v>1.00413</v>
      </c>
      <c r="F42" s="26"/>
      <c r="G42" s="77">
        <v>26</v>
      </c>
      <c r="H42" s="79">
        <v>1.0041500000000001</v>
      </c>
      <c r="I42" s="26"/>
      <c r="J42" s="77">
        <v>26</v>
      </c>
      <c r="K42" s="79">
        <v>1.0041800000000001</v>
      </c>
      <c r="L42" s="26"/>
      <c r="M42" s="77">
        <v>26</v>
      </c>
      <c r="N42" s="79">
        <v>1.00421</v>
      </c>
      <c r="O42" s="26"/>
      <c r="P42" s="77">
        <v>26</v>
      </c>
      <c r="Q42" s="79">
        <v>1.00424</v>
      </c>
      <c r="S42" s="21"/>
    </row>
    <row r="43" spans="2:19" x14ac:dyDescent="0.25">
      <c r="D43" s="77">
        <v>27</v>
      </c>
      <c r="E43" s="79">
        <v>1.0043800000000001</v>
      </c>
      <c r="F43" s="26"/>
      <c r="G43" s="77">
        <v>27</v>
      </c>
      <c r="H43" s="79">
        <v>1.00441</v>
      </c>
      <c r="I43" s="26"/>
      <c r="J43" s="77">
        <v>27</v>
      </c>
      <c r="K43" s="79">
        <v>1.00444</v>
      </c>
      <c r="L43" s="26"/>
      <c r="M43" s="77">
        <v>27</v>
      </c>
      <c r="N43" s="79">
        <v>1.00447</v>
      </c>
      <c r="O43" s="26"/>
      <c r="P43" s="77">
        <v>27</v>
      </c>
      <c r="Q43" s="79">
        <v>1.0044900000000001</v>
      </c>
      <c r="S43" s="21"/>
    </row>
    <row r="44" spans="2:19" ht="13.8" thickBot="1" x14ac:dyDescent="0.3">
      <c r="D44" s="78">
        <v>28</v>
      </c>
      <c r="E44" s="80">
        <v>1.00464</v>
      </c>
      <c r="F44" s="26"/>
      <c r="G44" s="78">
        <v>28</v>
      </c>
      <c r="H44" s="80">
        <v>1.00467</v>
      </c>
      <c r="I44" s="26"/>
      <c r="J44" s="78">
        <v>28</v>
      </c>
      <c r="K44" s="80">
        <v>1.0046999999999999</v>
      </c>
      <c r="L44" s="26"/>
      <c r="M44" s="78">
        <v>28</v>
      </c>
      <c r="N44" s="80">
        <v>1.0047299999999999</v>
      </c>
      <c r="O44" s="26"/>
      <c r="P44" s="78">
        <v>28</v>
      </c>
      <c r="Q44" s="80">
        <v>1.0047600000000001</v>
      </c>
      <c r="S44" s="21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</TotalTime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2</vt:i4>
      </vt:variant>
    </vt:vector>
  </HeadingPairs>
  <TitlesOfParts>
    <vt:vector size="5" baseType="lpstr">
      <vt:lpstr>Протокол</vt:lpstr>
      <vt:lpstr>Лист2</vt:lpstr>
      <vt:lpstr>к-т_коррекции</vt:lpstr>
      <vt:lpstr>Протокол!Область_печати</vt:lpstr>
      <vt:lpstr>таблица_давлений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Антон</dc:creator>
  <cp:lastModifiedBy>Валерий</cp:lastModifiedBy>
  <cp:revision>1</cp:revision>
  <cp:lastPrinted>2024-11-12T05:09:54Z</cp:lastPrinted>
  <dcterms:created xsi:type="dcterms:W3CDTF">2022-09-08T11:08:46Z</dcterms:created>
  <dcterms:modified xsi:type="dcterms:W3CDTF">2024-12-03T15:31:17Z</dcterms:modified>
  <dc:language>ru-RU</dc:language>
</cp:coreProperties>
</file>